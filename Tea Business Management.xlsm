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filterPrivacy="1" codeName="ThisWorkbook" hidePivotFieldList="1"/>
  <xr:revisionPtr revIDLastSave="0" documentId="13_ncr:1_{32A903AE-6D0F-43D7-B1B3-B879586233C3}" xr6:coauthVersionLast="47" xr6:coauthVersionMax="47" xr10:uidLastSave="{00000000-0000-0000-0000-000000000000}"/>
  <bookViews>
    <workbookView xWindow="-108" yWindow="-108" windowWidth="23256" windowHeight="12576" tabRatio="804" xr2:uid="{00000000-000D-0000-FFFF-FFFF00000000}"/>
  </bookViews>
  <sheets>
    <sheet name="Sales" sheetId="1" r:id="rId1"/>
    <sheet name="Purchases" sheetId="6" r:id="rId2"/>
    <sheet name="Delayed Payments" sheetId="11" r:id="rId3"/>
    <sheet name="Daily Purchases-Sales Report" sheetId="10" r:id="rId4"/>
    <sheet name="Customer and Destributer Totals" sheetId="12" r:id="rId5"/>
    <sheet name="Item Priceing" sheetId="2" r:id="rId6"/>
    <sheet name="Distributers" sheetId="4" r:id="rId7"/>
    <sheet name="Customers" sheetId="5" r:id="rId8"/>
    <sheet name="Bills" sheetId="7" r:id="rId9"/>
    <sheet name="Bill Details" sheetId="3" r:id="rId10"/>
    <sheet name="Available Amounts" sheetId="9" state="hidden" r:id="rId11"/>
  </sheets>
  <definedNames>
    <definedName name="customers">Table46[Customer]</definedName>
    <definedName name="itemname">Table1[Item]</definedName>
    <definedName name="Items">'Available Amounts'!$F$2:INDEX('Available Amounts'!$F$2:$F$500,COUNTIF('Available Amounts'!$F$2:$F$500,"&lt;&gt;0"),)</definedName>
    <definedName name="Prices">Table1[#All]</definedName>
    <definedName name="Purchase">#REF!</definedName>
    <definedName name="Suppliers">Table4[#All]</definedName>
    <definedName name="Suppliersnames">Table4[Distributer]</definedName>
  </definedNames>
  <calcPr calcId="191029"/>
  <pivotCaches>
    <pivotCache cacheId="1" r:id="rId12"/>
    <pivotCache cacheId="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9" i="3" l="1"/>
  <c r="J19" i="3" s="1"/>
  <c r="K20" i="3"/>
  <c r="J20" i="3" s="1"/>
  <c r="K21" i="3"/>
  <c r="J21" i="3" s="1"/>
  <c r="K22" i="3"/>
  <c r="J22" i="3" s="1"/>
  <c r="L19" i="3"/>
  <c r="L20" i="3"/>
  <c r="L21" i="3"/>
  <c r="L22" i="3"/>
  <c r="M19" i="3"/>
  <c r="M20" i="3"/>
  <c r="M21" i="3"/>
  <c r="M22" i="3"/>
  <c r="K15" i="3"/>
  <c r="J15" i="3" s="1"/>
  <c r="K16" i="3"/>
  <c r="J16" i="3" s="1"/>
  <c r="K17" i="3"/>
  <c r="J17" i="3" s="1"/>
  <c r="K18" i="3"/>
  <c r="J18" i="3" s="1"/>
  <c r="L15" i="3"/>
  <c r="L16" i="3"/>
  <c r="L17" i="3"/>
  <c r="L18" i="3"/>
  <c r="M15" i="3"/>
  <c r="M16" i="3"/>
  <c r="M17" i="3"/>
  <c r="M18" i="3"/>
  <c r="K11" i="3"/>
  <c r="J11" i="3" s="1"/>
  <c r="K12" i="3"/>
  <c r="J12" i="3" s="1"/>
  <c r="K13" i="3"/>
  <c r="J13" i="3" s="1"/>
  <c r="K14" i="3"/>
  <c r="J14" i="3" s="1"/>
  <c r="L11" i="3"/>
  <c r="L12" i="3"/>
  <c r="L13" i="3"/>
  <c r="L14" i="3"/>
  <c r="M11" i="3"/>
  <c r="M12" i="3"/>
  <c r="M13" i="3"/>
  <c r="M14" i="3"/>
  <c r="K10" i="3"/>
  <c r="J10" i="3" s="1"/>
  <c r="L10" i="3"/>
  <c r="M10" i="3"/>
  <c r="H5" i="2"/>
  <c r="H6" i="2"/>
  <c r="H7" i="2"/>
  <c r="H8" i="2"/>
  <c r="H9" i="2"/>
  <c r="H10" i="2"/>
  <c r="H11" i="2"/>
  <c r="H12" i="2"/>
  <c r="H13" i="2"/>
  <c r="H4" i="2"/>
  <c r="K9" i="3"/>
  <c r="J9" i="3" s="1"/>
  <c r="L9" i="3"/>
  <c r="M9" i="3"/>
  <c r="H13" i="11"/>
  <c r="K5" i="3"/>
  <c r="J5" i="3" s="1"/>
  <c r="K6" i="3"/>
  <c r="J6" i="3" s="1"/>
  <c r="K7" i="3"/>
  <c r="J7" i="3" s="1"/>
  <c r="K8" i="3"/>
  <c r="J8" i="3" s="1"/>
  <c r="L5" i="3"/>
  <c r="L6" i="3"/>
  <c r="L7" i="3"/>
  <c r="L8" i="3"/>
  <c r="M5" i="3"/>
  <c r="M6" i="3"/>
  <c r="M7" i="3"/>
  <c r="M8" i="3"/>
  <c r="A5" i="4"/>
  <c r="A6" i="4"/>
  <c r="A7" i="4"/>
  <c r="A8" i="4"/>
  <c r="A9" i="4"/>
  <c r="A10" i="4"/>
  <c r="A11" i="4"/>
  <c r="A12" i="4"/>
  <c r="A13" i="4"/>
  <c r="A4" i="4"/>
  <c r="A5" i="5"/>
  <c r="A6" i="5"/>
  <c r="A7" i="5"/>
  <c r="A8" i="5"/>
  <c r="A9" i="5"/>
  <c r="A10" i="5"/>
  <c r="A11" i="5"/>
  <c r="A12" i="5"/>
  <c r="A13" i="5"/>
  <c r="A14" i="5"/>
  <c r="A4" i="5"/>
  <c r="J13" i="11"/>
  <c r="J6" i="11"/>
  <c r="H6" i="11" l="1"/>
  <c r="I13" i="11"/>
  <c r="I6" i="11"/>
  <c r="K4" i="3" l="1"/>
  <c r="J4" i="3" s="1"/>
  <c r="L4" i="3"/>
  <c r="M4" i="3"/>
  <c r="B7" i="6" l="1"/>
  <c r="F7" i="6"/>
  <c r="H7" i="6" s="1"/>
  <c r="I7" i="6"/>
  <c r="J7" i="6" s="1"/>
  <c r="L7" i="1" l="1"/>
  <c r="B7" i="1" l="1"/>
  <c r="F7" i="1"/>
  <c r="G7" i="1"/>
  <c r="I7" i="1"/>
  <c r="J7" i="1" s="1"/>
  <c r="F3" i="9" a="1"/>
  <c r="F3" i="9" s="1"/>
  <c r="F4" i="9" a="1"/>
  <c r="F4" i="9" s="1"/>
  <c r="F5" i="9" a="1"/>
  <c r="F5" i="9" s="1"/>
  <c r="F6" i="9" a="1"/>
  <c r="F6" i="9" s="1"/>
  <c r="F7" i="9" a="1"/>
  <c r="F7" i="9" s="1"/>
  <c r="F8" i="9" a="1"/>
  <c r="F8" i="9" s="1"/>
  <c r="F9" i="9" a="1"/>
  <c r="F9" i="9" s="1"/>
  <c r="F10" i="9" a="1"/>
  <c r="F10" i="9" s="1"/>
  <c r="F11" i="9" a="1"/>
  <c r="F11" i="9" s="1"/>
  <c r="F12" i="9" a="1"/>
  <c r="F12" i="9" s="1"/>
  <c r="F13" i="9" a="1"/>
  <c r="F13" i="9" s="1"/>
  <c r="F14" i="9" a="1"/>
  <c r="F14" i="9" s="1"/>
  <c r="F15" i="9" a="1"/>
  <c r="F15" i="9" s="1"/>
  <c r="F16" i="9" a="1"/>
  <c r="F16" i="9" s="1"/>
  <c r="F17" i="9" a="1"/>
  <c r="F17" i="9" s="1"/>
  <c r="F18" i="9" a="1"/>
  <c r="F18" i="9" s="1"/>
  <c r="F19" i="9" a="1"/>
  <c r="F19" i="9" s="1"/>
  <c r="F20" i="9" a="1"/>
  <c r="F20" i="9" s="1"/>
  <c r="F21" i="9" a="1"/>
  <c r="F21" i="9" s="1"/>
  <c r="F22" i="9" a="1"/>
  <c r="F22" i="9" s="1"/>
  <c r="F23" i="9" a="1"/>
  <c r="F23" i="9" s="1"/>
  <c r="F24" i="9" a="1"/>
  <c r="F24" i="9" s="1"/>
  <c r="F25" i="9" a="1"/>
  <c r="F25" i="9" s="1"/>
  <c r="F26" i="9" a="1"/>
  <c r="F26" i="9" s="1"/>
  <c r="F27" i="9" a="1"/>
  <c r="F27" i="9" s="1"/>
  <c r="F28" i="9" a="1"/>
  <c r="F28" i="9" s="1"/>
  <c r="F29" i="9" a="1"/>
  <c r="F29" i="9" s="1"/>
  <c r="F30" i="9" a="1"/>
  <c r="F30" i="9" s="1"/>
  <c r="F31" i="9" a="1"/>
  <c r="F31" i="9" s="1"/>
  <c r="F32" i="9" a="1"/>
  <c r="F32" i="9" s="1"/>
  <c r="F33" i="9" a="1"/>
  <c r="F33" i="9" s="1"/>
  <c r="F34" i="9" a="1"/>
  <c r="F34" i="9" s="1"/>
  <c r="F35" i="9" a="1"/>
  <c r="F35" i="9" s="1"/>
  <c r="F36" i="9" a="1"/>
  <c r="F36" i="9" s="1"/>
  <c r="F37" i="9" a="1"/>
  <c r="F37" i="9" s="1"/>
  <c r="F38" i="9" a="1"/>
  <c r="F38" i="9" s="1"/>
  <c r="F39" i="9" a="1"/>
  <c r="F39" i="9" s="1"/>
  <c r="F40" i="9" a="1"/>
  <c r="F40" i="9" s="1"/>
  <c r="F41" i="9" a="1"/>
  <c r="F41" i="9" s="1"/>
  <c r="F42" i="9" a="1"/>
  <c r="F42" i="9" s="1"/>
  <c r="F43" i="9" a="1"/>
  <c r="F43" i="9" s="1"/>
  <c r="F44" i="9" a="1"/>
  <c r="F44" i="9" s="1"/>
  <c r="F45" i="9" a="1"/>
  <c r="F45" i="9" s="1"/>
  <c r="F46" i="9" a="1"/>
  <c r="F46" i="9" s="1"/>
  <c r="F47" i="9" a="1"/>
  <c r="F47" i="9" s="1"/>
  <c r="F48" i="9" a="1"/>
  <c r="F48" i="9" s="1"/>
  <c r="F49" i="9" a="1"/>
  <c r="F49" i="9" s="1"/>
  <c r="F50" i="9" a="1"/>
  <c r="F50" i="9" s="1"/>
  <c r="F51" i="9" a="1"/>
  <c r="F51" i="9" s="1"/>
  <c r="F52" i="9" a="1"/>
  <c r="F52" i="9" s="1"/>
  <c r="F53" i="9" a="1"/>
  <c r="F53" i="9" s="1"/>
  <c r="F54" i="9" a="1"/>
  <c r="F54" i="9" s="1"/>
  <c r="F55" i="9" a="1"/>
  <c r="F55" i="9" s="1"/>
  <c r="F56" i="9" a="1"/>
  <c r="F56" i="9" s="1"/>
  <c r="F57" i="9" a="1"/>
  <c r="F57" i="9" s="1"/>
  <c r="F58" i="9" a="1"/>
  <c r="F58" i="9" s="1"/>
  <c r="F59" i="9" a="1"/>
  <c r="F59" i="9" s="1"/>
  <c r="F60" i="9" a="1"/>
  <c r="F60" i="9" s="1"/>
  <c r="F61" i="9" a="1"/>
  <c r="F61" i="9" s="1"/>
  <c r="F62" i="9" a="1"/>
  <c r="F62" i="9" s="1"/>
  <c r="F63" i="9" a="1"/>
  <c r="F63" i="9" s="1"/>
  <c r="F64" i="9" a="1"/>
  <c r="F64" i="9" s="1"/>
  <c r="F65" i="9" a="1"/>
  <c r="F65" i="9" s="1"/>
  <c r="F66" i="9" a="1"/>
  <c r="F66" i="9" s="1"/>
  <c r="F67" i="9" a="1"/>
  <c r="F67" i="9" s="1"/>
  <c r="F68" i="9" a="1"/>
  <c r="F68" i="9" s="1"/>
  <c r="F69" i="9" a="1"/>
  <c r="F69" i="9" s="1"/>
  <c r="F70" i="9" a="1"/>
  <c r="F70" i="9" s="1"/>
  <c r="F71" i="9" a="1"/>
  <c r="F71" i="9" s="1"/>
  <c r="F72" i="9" a="1"/>
  <c r="F72" i="9" s="1"/>
  <c r="F73" i="9" a="1"/>
  <c r="F73" i="9" s="1"/>
  <c r="F74" i="9" a="1"/>
  <c r="F74" i="9" s="1"/>
  <c r="F75" i="9" a="1"/>
  <c r="F75" i="9" s="1"/>
  <c r="F76" i="9" a="1"/>
  <c r="F76" i="9" s="1"/>
  <c r="F77" i="9" a="1"/>
  <c r="F77" i="9" s="1"/>
  <c r="F78" i="9" a="1"/>
  <c r="F78" i="9" s="1"/>
  <c r="F79" i="9" a="1"/>
  <c r="F79" i="9" s="1"/>
  <c r="F80" i="9" a="1"/>
  <c r="F80" i="9" s="1"/>
  <c r="F81" i="9" a="1"/>
  <c r="F81" i="9" s="1"/>
  <c r="F82" i="9" a="1"/>
  <c r="F82" i="9" s="1"/>
  <c r="F83" i="9" a="1"/>
  <c r="F83" i="9" s="1"/>
  <c r="F84" i="9" a="1"/>
  <c r="F84" i="9" s="1"/>
  <c r="F85" i="9" a="1"/>
  <c r="F85" i="9" s="1"/>
  <c r="F86" i="9" a="1"/>
  <c r="F86" i="9" s="1"/>
  <c r="F87" i="9" a="1"/>
  <c r="F87" i="9" s="1"/>
  <c r="F88" i="9" a="1"/>
  <c r="F88" i="9" s="1"/>
  <c r="F89" i="9" a="1"/>
  <c r="F89" i="9" s="1"/>
  <c r="F90" i="9" a="1"/>
  <c r="F90" i="9" s="1"/>
  <c r="F91" i="9" a="1"/>
  <c r="F91" i="9" s="1"/>
  <c r="F92" i="9" a="1"/>
  <c r="F92" i="9" s="1"/>
  <c r="F93" i="9" a="1"/>
  <c r="F93" i="9" s="1"/>
  <c r="F94" i="9" a="1"/>
  <c r="F94" i="9" s="1"/>
  <c r="F95" i="9" a="1"/>
  <c r="F95" i="9" s="1"/>
  <c r="F96" i="9" a="1"/>
  <c r="F96" i="9" s="1"/>
  <c r="F97" i="9" a="1"/>
  <c r="F97" i="9" s="1"/>
  <c r="F98" i="9" a="1"/>
  <c r="F98" i="9" s="1"/>
  <c r="F99" i="9" a="1"/>
  <c r="F99" i="9" s="1"/>
  <c r="F100" i="9" a="1"/>
  <c r="F100" i="9" s="1"/>
  <c r="F101" i="9" a="1"/>
  <c r="F101" i="9" s="1"/>
  <c r="F102" i="9" a="1"/>
  <c r="F102" i="9" s="1"/>
  <c r="F103" i="9" a="1"/>
  <c r="F103" i="9" s="1"/>
  <c r="F104" i="9" a="1"/>
  <c r="F104" i="9" s="1"/>
  <c r="F105" i="9" a="1"/>
  <c r="F105" i="9" s="1"/>
  <c r="F106" i="9" a="1"/>
  <c r="F106" i="9" s="1"/>
  <c r="F107" i="9" a="1"/>
  <c r="F107" i="9" s="1"/>
  <c r="F108" i="9" a="1"/>
  <c r="F108" i="9" s="1"/>
  <c r="F109" i="9" a="1"/>
  <c r="F109" i="9" s="1"/>
  <c r="F110" i="9" a="1"/>
  <c r="F110" i="9" s="1"/>
  <c r="F111" i="9" a="1"/>
  <c r="F111" i="9" s="1"/>
  <c r="F112" i="9" a="1"/>
  <c r="F112" i="9" s="1"/>
  <c r="F113" i="9" a="1"/>
  <c r="F113" i="9" s="1"/>
  <c r="F114" i="9" a="1"/>
  <c r="F114" i="9" s="1"/>
  <c r="F115" i="9" a="1"/>
  <c r="F115" i="9" s="1"/>
  <c r="F116" i="9" a="1"/>
  <c r="F116" i="9" s="1"/>
  <c r="F117" i="9" a="1"/>
  <c r="F117" i="9" s="1"/>
  <c r="F118" i="9" a="1"/>
  <c r="F118" i="9" s="1"/>
  <c r="F119" i="9" a="1"/>
  <c r="F119" i="9" s="1"/>
  <c r="F120" i="9" a="1"/>
  <c r="F120" i="9" s="1"/>
  <c r="F121" i="9" a="1"/>
  <c r="F121" i="9" s="1"/>
  <c r="F122" i="9" a="1"/>
  <c r="F122" i="9" s="1"/>
  <c r="F123" i="9" a="1"/>
  <c r="F123" i="9" s="1"/>
  <c r="F124" i="9" a="1"/>
  <c r="F124" i="9" s="1"/>
  <c r="F125" i="9" a="1"/>
  <c r="F125" i="9" s="1"/>
  <c r="F126" i="9" a="1"/>
  <c r="F126" i="9" s="1"/>
  <c r="F127" i="9" a="1"/>
  <c r="F127" i="9" s="1"/>
  <c r="F128" i="9" a="1"/>
  <c r="F128" i="9" s="1"/>
  <c r="F129" i="9" a="1"/>
  <c r="F129" i="9" s="1"/>
  <c r="F130" i="9" a="1"/>
  <c r="F130" i="9" s="1"/>
  <c r="F131" i="9" a="1"/>
  <c r="F131" i="9" s="1"/>
  <c r="F132" i="9" a="1"/>
  <c r="F132" i="9" s="1"/>
  <c r="F133" i="9" a="1"/>
  <c r="F133" i="9" s="1"/>
  <c r="F134" i="9" a="1"/>
  <c r="F134" i="9" s="1"/>
  <c r="F135" i="9" a="1"/>
  <c r="F135" i="9" s="1"/>
  <c r="F136" i="9" a="1"/>
  <c r="F136" i="9" s="1"/>
  <c r="F137" i="9" a="1"/>
  <c r="F137" i="9" s="1"/>
  <c r="F138" i="9" a="1"/>
  <c r="F138" i="9" s="1"/>
  <c r="F139" i="9" a="1"/>
  <c r="F139" i="9" s="1"/>
  <c r="F140" i="9" a="1"/>
  <c r="F140" i="9" s="1"/>
  <c r="F141" i="9" a="1"/>
  <c r="F141" i="9" s="1"/>
  <c r="F142" i="9" a="1"/>
  <c r="F142" i="9" s="1"/>
  <c r="F143" i="9" a="1"/>
  <c r="F143" i="9" s="1"/>
  <c r="F144" i="9" a="1"/>
  <c r="F144" i="9" s="1"/>
  <c r="F145" i="9" a="1"/>
  <c r="F145" i="9" s="1"/>
  <c r="F146" i="9" a="1"/>
  <c r="F146" i="9" s="1"/>
  <c r="F147" i="9" a="1"/>
  <c r="F147" i="9" s="1"/>
  <c r="F148" i="9" a="1"/>
  <c r="F148" i="9" s="1"/>
  <c r="F149" i="9" a="1"/>
  <c r="F149" i="9" s="1"/>
  <c r="F150" i="9" a="1"/>
  <c r="F150" i="9" s="1"/>
  <c r="F151" i="9" a="1"/>
  <c r="F151" i="9" s="1"/>
  <c r="F152" i="9" a="1"/>
  <c r="F152" i="9" s="1"/>
  <c r="F153" i="9" a="1"/>
  <c r="F153" i="9" s="1"/>
  <c r="F154" i="9" a="1"/>
  <c r="F154" i="9" s="1"/>
  <c r="F155" i="9" a="1"/>
  <c r="F155" i="9" s="1"/>
  <c r="F156" i="9" a="1"/>
  <c r="F156" i="9" s="1"/>
  <c r="F157" i="9" a="1"/>
  <c r="F157" i="9" s="1"/>
  <c r="F158" i="9" a="1"/>
  <c r="F158" i="9" s="1"/>
  <c r="F159" i="9" a="1"/>
  <c r="F159" i="9" s="1"/>
  <c r="F160" i="9" a="1"/>
  <c r="F160" i="9" s="1"/>
  <c r="F161" i="9" a="1"/>
  <c r="F161" i="9" s="1"/>
  <c r="F162" i="9" a="1"/>
  <c r="F162" i="9" s="1"/>
  <c r="F163" i="9" a="1"/>
  <c r="F163" i="9" s="1"/>
  <c r="F164" i="9" a="1"/>
  <c r="F164" i="9" s="1"/>
  <c r="F165" i="9" a="1"/>
  <c r="F165" i="9" s="1"/>
  <c r="F166" i="9" a="1"/>
  <c r="F166" i="9" s="1"/>
  <c r="F167" i="9" a="1"/>
  <c r="F167" i="9" s="1"/>
  <c r="F168" i="9" a="1"/>
  <c r="F168" i="9" s="1"/>
  <c r="F169" i="9" a="1"/>
  <c r="F169" i="9" s="1"/>
  <c r="F170" i="9" a="1"/>
  <c r="F170" i="9" s="1"/>
  <c r="F171" i="9" a="1"/>
  <c r="F171" i="9" s="1"/>
  <c r="F172" i="9" a="1"/>
  <c r="F172" i="9" s="1"/>
  <c r="F173" i="9" a="1"/>
  <c r="F173" i="9" s="1"/>
  <c r="F174" i="9" a="1"/>
  <c r="F174" i="9" s="1"/>
  <c r="F175" i="9" a="1"/>
  <c r="F175" i="9" s="1"/>
  <c r="F176" i="9" a="1"/>
  <c r="F176" i="9" s="1"/>
  <c r="F177" i="9" a="1"/>
  <c r="F177" i="9" s="1"/>
  <c r="F178" i="9" a="1"/>
  <c r="F178" i="9" s="1"/>
  <c r="F179" i="9" a="1"/>
  <c r="F179" i="9" s="1"/>
  <c r="F180" i="9" a="1"/>
  <c r="F180" i="9" s="1"/>
  <c r="F181" i="9" a="1"/>
  <c r="F181" i="9" s="1"/>
  <c r="F182" i="9" a="1"/>
  <c r="F182" i="9" s="1"/>
  <c r="F183" i="9" a="1"/>
  <c r="F183" i="9" s="1"/>
  <c r="F184" i="9" a="1"/>
  <c r="F184" i="9" s="1"/>
  <c r="F185" i="9" a="1"/>
  <c r="F185" i="9" s="1"/>
  <c r="F186" i="9" a="1"/>
  <c r="F186" i="9" s="1"/>
  <c r="F187" i="9" a="1"/>
  <c r="F187" i="9" s="1"/>
  <c r="F188" i="9" a="1"/>
  <c r="F188" i="9" s="1"/>
  <c r="F189" i="9" a="1"/>
  <c r="F189" i="9" s="1"/>
  <c r="F190" i="9" a="1"/>
  <c r="F190" i="9" s="1"/>
  <c r="F191" i="9" a="1"/>
  <c r="F191" i="9" s="1"/>
  <c r="F192" i="9" a="1"/>
  <c r="F192" i="9" s="1"/>
  <c r="F193" i="9" a="1"/>
  <c r="F193" i="9" s="1"/>
  <c r="F194" i="9" a="1"/>
  <c r="F194" i="9" s="1"/>
  <c r="F195" i="9" a="1"/>
  <c r="F195" i="9" s="1"/>
  <c r="F196" i="9" a="1"/>
  <c r="F196" i="9" s="1"/>
  <c r="F197" i="9" a="1"/>
  <c r="F197" i="9" s="1"/>
  <c r="F198" i="9" a="1"/>
  <c r="F198" i="9" s="1"/>
  <c r="F199" i="9" a="1"/>
  <c r="F199" i="9" s="1"/>
  <c r="F200" i="9" a="1"/>
  <c r="F200" i="9" s="1"/>
  <c r="F201" i="9" a="1"/>
  <c r="F201" i="9" s="1"/>
  <c r="F202" i="9" a="1"/>
  <c r="F202" i="9" s="1"/>
  <c r="F203" i="9" a="1"/>
  <c r="F203" i="9" s="1"/>
  <c r="F204" i="9" a="1"/>
  <c r="F204" i="9" s="1"/>
  <c r="F205" i="9" a="1"/>
  <c r="F205" i="9" s="1"/>
  <c r="F206" i="9" a="1"/>
  <c r="F206" i="9" s="1"/>
  <c r="F207" i="9" a="1"/>
  <c r="F207" i="9" s="1"/>
  <c r="F208" i="9" a="1"/>
  <c r="F208" i="9" s="1"/>
  <c r="F209" i="9" a="1"/>
  <c r="F209" i="9" s="1"/>
  <c r="F210" i="9" a="1"/>
  <c r="F210" i="9" s="1"/>
  <c r="F211" i="9" a="1"/>
  <c r="F211" i="9" s="1"/>
  <c r="F212" i="9" a="1"/>
  <c r="F212" i="9" s="1"/>
  <c r="F213" i="9" a="1"/>
  <c r="F213" i="9" s="1"/>
  <c r="F214" i="9" a="1"/>
  <c r="F214" i="9" s="1"/>
  <c r="F215" i="9" a="1"/>
  <c r="F215" i="9" s="1"/>
  <c r="F216" i="9" a="1"/>
  <c r="F216" i="9" s="1"/>
  <c r="F217" i="9" a="1"/>
  <c r="F217" i="9" s="1"/>
  <c r="F218" i="9" a="1"/>
  <c r="F218" i="9" s="1"/>
  <c r="F219" i="9" a="1"/>
  <c r="F219" i="9" s="1"/>
  <c r="F220" i="9" a="1"/>
  <c r="F220" i="9" s="1"/>
  <c r="F221" i="9" a="1"/>
  <c r="F221" i="9" s="1"/>
  <c r="F222" i="9" a="1"/>
  <c r="F222" i="9" s="1"/>
  <c r="F223" i="9" a="1"/>
  <c r="F223" i="9" s="1"/>
  <c r="F224" i="9" a="1"/>
  <c r="F224" i="9" s="1"/>
  <c r="F225" i="9" a="1"/>
  <c r="F225" i="9" s="1"/>
  <c r="F226" i="9" a="1"/>
  <c r="F226" i="9" s="1"/>
  <c r="F227" i="9" a="1"/>
  <c r="F227" i="9" s="1"/>
  <c r="F228" i="9" a="1"/>
  <c r="F228" i="9" s="1"/>
  <c r="F229" i="9" a="1"/>
  <c r="F229" i="9" s="1"/>
  <c r="F230" i="9" a="1"/>
  <c r="F230" i="9" s="1"/>
  <c r="F231" i="9" a="1"/>
  <c r="F231" i="9" s="1"/>
  <c r="F232" i="9" a="1"/>
  <c r="F232" i="9" s="1"/>
  <c r="F233" i="9" a="1"/>
  <c r="F233" i="9" s="1"/>
  <c r="F234" i="9" a="1"/>
  <c r="F234" i="9" s="1"/>
  <c r="F235" i="9" a="1"/>
  <c r="F235" i="9" s="1"/>
  <c r="F236" i="9" a="1"/>
  <c r="F236" i="9" s="1"/>
  <c r="F237" i="9" a="1"/>
  <c r="F237" i="9" s="1"/>
  <c r="F238" i="9" a="1"/>
  <c r="F238" i="9" s="1"/>
  <c r="F239" i="9" a="1"/>
  <c r="F239" i="9" s="1"/>
  <c r="F240" i="9" a="1"/>
  <c r="F240" i="9" s="1"/>
  <c r="F241" i="9" a="1"/>
  <c r="F241" i="9" s="1"/>
  <c r="F242" i="9" a="1"/>
  <c r="F242" i="9" s="1"/>
  <c r="F243" i="9" a="1"/>
  <c r="F243" i="9" s="1"/>
  <c r="F244" i="9" a="1"/>
  <c r="F244" i="9" s="1"/>
  <c r="F245" i="9" a="1"/>
  <c r="F245" i="9" s="1"/>
  <c r="F246" i="9" a="1"/>
  <c r="F246" i="9" s="1"/>
  <c r="F247" i="9" a="1"/>
  <c r="F247" i="9" s="1"/>
  <c r="F248" i="9" a="1"/>
  <c r="F248" i="9" s="1"/>
  <c r="F249" i="9" a="1"/>
  <c r="F249" i="9" s="1"/>
  <c r="F250" i="9" a="1"/>
  <c r="F250" i="9" s="1"/>
  <c r="F251" i="9" a="1"/>
  <c r="F251" i="9" s="1"/>
  <c r="F252" i="9" a="1"/>
  <c r="F252" i="9" s="1"/>
  <c r="F253" i="9" a="1"/>
  <c r="F253" i="9" s="1"/>
  <c r="F254" i="9" a="1"/>
  <c r="F254" i="9" s="1"/>
  <c r="F255" i="9" a="1"/>
  <c r="F255" i="9" s="1"/>
  <c r="F256" i="9" a="1"/>
  <c r="F256" i="9" s="1"/>
  <c r="F257" i="9" a="1"/>
  <c r="F257" i="9" s="1"/>
  <c r="F258" i="9" a="1"/>
  <c r="F258" i="9" s="1"/>
  <c r="F259" i="9" a="1"/>
  <c r="F259" i="9" s="1"/>
  <c r="F260" i="9" a="1"/>
  <c r="F260" i="9" s="1"/>
  <c r="F261" i="9" a="1"/>
  <c r="F261" i="9" s="1"/>
  <c r="F262" i="9" a="1"/>
  <c r="F262" i="9" s="1"/>
  <c r="F263" i="9" a="1"/>
  <c r="F263" i="9" s="1"/>
  <c r="F264" i="9" a="1"/>
  <c r="F264" i="9" s="1"/>
  <c r="F265" i="9" a="1"/>
  <c r="F265" i="9" s="1"/>
  <c r="F266" i="9" a="1"/>
  <c r="F266" i="9" s="1"/>
  <c r="F267" i="9" a="1"/>
  <c r="F267" i="9" s="1"/>
  <c r="F268" i="9" a="1"/>
  <c r="F268" i="9" s="1"/>
  <c r="F269" i="9" a="1"/>
  <c r="F269" i="9" s="1"/>
  <c r="F270" i="9" a="1"/>
  <c r="F270" i="9" s="1"/>
  <c r="F271" i="9" a="1"/>
  <c r="F271" i="9" s="1"/>
  <c r="F272" i="9" a="1"/>
  <c r="F272" i="9" s="1"/>
  <c r="F273" i="9" a="1"/>
  <c r="F273" i="9" s="1"/>
  <c r="F274" i="9" a="1"/>
  <c r="F274" i="9" s="1"/>
  <c r="F275" i="9" a="1"/>
  <c r="F275" i="9" s="1"/>
  <c r="F276" i="9" a="1"/>
  <c r="F276" i="9" s="1"/>
  <c r="F277" i="9" a="1"/>
  <c r="F277" i="9" s="1"/>
  <c r="F278" i="9" a="1"/>
  <c r="F278" i="9" s="1"/>
  <c r="F279" i="9" a="1"/>
  <c r="F279" i="9" s="1"/>
  <c r="F280" i="9" a="1"/>
  <c r="F280" i="9" s="1"/>
  <c r="F281" i="9" a="1"/>
  <c r="F281" i="9" s="1"/>
  <c r="F282" i="9" a="1"/>
  <c r="F282" i="9" s="1"/>
  <c r="F283" i="9" a="1"/>
  <c r="F283" i="9" s="1"/>
  <c r="F284" i="9" a="1"/>
  <c r="F284" i="9" s="1"/>
  <c r="F285" i="9" a="1"/>
  <c r="F285" i="9" s="1"/>
  <c r="F286" i="9" a="1"/>
  <c r="F286" i="9" s="1"/>
  <c r="F287" i="9" a="1"/>
  <c r="F287" i="9" s="1"/>
  <c r="F288" i="9" a="1"/>
  <c r="F288" i="9" s="1"/>
  <c r="F289" i="9" a="1"/>
  <c r="F289" i="9" s="1"/>
  <c r="F290" i="9" a="1"/>
  <c r="F290" i="9" s="1"/>
  <c r="F291" i="9" a="1"/>
  <c r="F291" i="9" s="1"/>
  <c r="F292" i="9" a="1"/>
  <c r="F292" i="9" s="1"/>
  <c r="F293" i="9" a="1"/>
  <c r="F293" i="9" s="1"/>
  <c r="F294" i="9" a="1"/>
  <c r="F294" i="9" s="1"/>
  <c r="F295" i="9" a="1"/>
  <c r="F295" i="9" s="1"/>
  <c r="F296" i="9" a="1"/>
  <c r="F296" i="9" s="1"/>
  <c r="F297" i="9" a="1"/>
  <c r="F297" i="9" s="1"/>
  <c r="F298" i="9" a="1"/>
  <c r="F298" i="9" s="1"/>
  <c r="F299" i="9" a="1"/>
  <c r="F299" i="9" s="1"/>
  <c r="F300" i="9" a="1"/>
  <c r="F300" i="9" s="1"/>
  <c r="F301" i="9" a="1"/>
  <c r="F301" i="9" s="1"/>
  <c r="F302" i="9" a="1"/>
  <c r="F302" i="9" s="1"/>
  <c r="F303" i="9" a="1"/>
  <c r="F303" i="9" s="1"/>
  <c r="F304" i="9" a="1"/>
  <c r="F304" i="9" s="1"/>
  <c r="F305" i="9" a="1"/>
  <c r="F305" i="9" s="1"/>
  <c r="F306" i="9" a="1"/>
  <c r="F306" i="9" s="1"/>
  <c r="F307" i="9" a="1"/>
  <c r="F307" i="9" s="1"/>
  <c r="F308" i="9" a="1"/>
  <c r="F308" i="9" s="1"/>
  <c r="F309" i="9" a="1"/>
  <c r="F309" i="9" s="1"/>
  <c r="F310" i="9" a="1"/>
  <c r="F310" i="9" s="1"/>
  <c r="F311" i="9" a="1"/>
  <c r="F311" i="9" s="1"/>
  <c r="F312" i="9" a="1"/>
  <c r="F312" i="9" s="1"/>
  <c r="F313" i="9" a="1"/>
  <c r="F313" i="9" s="1"/>
  <c r="F314" i="9" a="1"/>
  <c r="F314" i="9" s="1"/>
  <c r="F315" i="9" a="1"/>
  <c r="F315" i="9" s="1"/>
  <c r="F316" i="9" a="1"/>
  <c r="F316" i="9" s="1"/>
  <c r="F317" i="9" a="1"/>
  <c r="F317" i="9" s="1"/>
  <c r="F318" i="9" a="1"/>
  <c r="F318" i="9" s="1"/>
  <c r="F319" i="9" a="1"/>
  <c r="F319" i="9" s="1"/>
  <c r="F320" i="9" a="1"/>
  <c r="F320" i="9" s="1"/>
  <c r="F321" i="9" a="1"/>
  <c r="F321" i="9" s="1"/>
  <c r="F322" i="9" a="1"/>
  <c r="F322" i="9" s="1"/>
  <c r="F323" i="9" a="1"/>
  <c r="F323" i="9" s="1"/>
  <c r="F324" i="9" a="1"/>
  <c r="F324" i="9" s="1"/>
  <c r="F325" i="9" a="1"/>
  <c r="F325" i="9" s="1"/>
  <c r="F326" i="9" a="1"/>
  <c r="F326" i="9" s="1"/>
  <c r="F327" i="9" a="1"/>
  <c r="F327" i="9" s="1"/>
  <c r="F328" i="9" a="1"/>
  <c r="F328" i="9" s="1"/>
  <c r="F329" i="9" a="1"/>
  <c r="F329" i="9" s="1"/>
  <c r="F330" i="9" a="1"/>
  <c r="F330" i="9" s="1"/>
  <c r="F331" i="9" a="1"/>
  <c r="F331" i="9" s="1"/>
  <c r="F332" i="9" a="1"/>
  <c r="F332" i="9" s="1"/>
  <c r="F333" i="9" a="1"/>
  <c r="F333" i="9" s="1"/>
  <c r="F334" i="9" a="1"/>
  <c r="F334" i="9" s="1"/>
  <c r="F335" i="9" a="1"/>
  <c r="F335" i="9" s="1"/>
  <c r="F336" i="9" a="1"/>
  <c r="F336" i="9" s="1"/>
  <c r="F337" i="9" a="1"/>
  <c r="F337" i="9" s="1"/>
  <c r="F338" i="9" a="1"/>
  <c r="F338" i="9" s="1"/>
  <c r="F339" i="9" a="1"/>
  <c r="F339" i="9" s="1"/>
  <c r="F340" i="9" a="1"/>
  <c r="F340" i="9" s="1"/>
  <c r="F341" i="9" a="1"/>
  <c r="F341" i="9" s="1"/>
  <c r="F342" i="9" a="1"/>
  <c r="F342" i="9" s="1"/>
  <c r="F343" i="9" a="1"/>
  <c r="F343" i="9" s="1"/>
  <c r="F344" i="9" a="1"/>
  <c r="F344" i="9" s="1"/>
  <c r="F345" i="9" a="1"/>
  <c r="F345" i="9" s="1"/>
  <c r="F346" i="9" a="1"/>
  <c r="F346" i="9" s="1"/>
  <c r="F347" i="9" a="1"/>
  <c r="F347" i="9" s="1"/>
  <c r="F348" i="9" a="1"/>
  <c r="F348" i="9" s="1"/>
  <c r="F349" i="9" a="1"/>
  <c r="F349" i="9" s="1"/>
  <c r="F350" i="9" a="1"/>
  <c r="F350" i="9" s="1"/>
  <c r="F351" i="9" a="1"/>
  <c r="F351" i="9" s="1"/>
  <c r="F352" i="9" a="1"/>
  <c r="F352" i="9" s="1"/>
  <c r="F353" i="9" a="1"/>
  <c r="F353" i="9" s="1"/>
  <c r="F354" i="9" a="1"/>
  <c r="F354" i="9" s="1"/>
  <c r="F355" i="9" a="1"/>
  <c r="F355" i="9" s="1"/>
  <c r="F356" i="9" a="1"/>
  <c r="F356" i="9" s="1"/>
  <c r="F357" i="9" a="1"/>
  <c r="F357" i="9" s="1"/>
  <c r="F358" i="9" a="1"/>
  <c r="F358" i="9" s="1"/>
  <c r="F359" i="9" a="1"/>
  <c r="F359" i="9" s="1"/>
  <c r="F360" i="9" a="1"/>
  <c r="F360" i="9" s="1"/>
  <c r="F361" i="9" a="1"/>
  <c r="F361" i="9" s="1"/>
  <c r="F362" i="9" a="1"/>
  <c r="F362" i="9" s="1"/>
  <c r="F363" i="9" a="1"/>
  <c r="F363" i="9" s="1"/>
  <c r="F364" i="9" a="1"/>
  <c r="F364" i="9" s="1"/>
  <c r="F365" i="9" a="1"/>
  <c r="F365" i="9" s="1"/>
  <c r="F366" i="9" a="1"/>
  <c r="F366" i="9" s="1"/>
  <c r="F367" i="9" a="1"/>
  <c r="F367" i="9" s="1"/>
  <c r="F368" i="9" a="1"/>
  <c r="F368" i="9" s="1"/>
  <c r="F369" i="9" a="1"/>
  <c r="F369" i="9" s="1"/>
  <c r="F370" i="9" a="1"/>
  <c r="F370" i="9" s="1"/>
  <c r="F371" i="9" a="1"/>
  <c r="F371" i="9" s="1"/>
  <c r="F372" i="9" a="1"/>
  <c r="F372" i="9" s="1"/>
  <c r="F373" i="9" a="1"/>
  <c r="F373" i="9" s="1"/>
  <c r="F374" i="9" a="1"/>
  <c r="F374" i="9" s="1"/>
  <c r="F375" i="9" a="1"/>
  <c r="F375" i="9" s="1"/>
  <c r="F376" i="9" a="1"/>
  <c r="F376" i="9" s="1"/>
  <c r="F377" i="9" a="1"/>
  <c r="F377" i="9" s="1"/>
  <c r="F378" i="9" a="1"/>
  <c r="F378" i="9" s="1"/>
  <c r="F379" i="9" a="1"/>
  <c r="F379" i="9" s="1"/>
  <c r="F380" i="9" a="1"/>
  <c r="F380" i="9" s="1"/>
  <c r="F381" i="9" a="1"/>
  <c r="F381" i="9" s="1"/>
  <c r="F382" i="9" a="1"/>
  <c r="F382" i="9" s="1"/>
  <c r="F383" i="9" a="1"/>
  <c r="F383" i="9" s="1"/>
  <c r="F384" i="9" a="1"/>
  <c r="F384" i="9" s="1"/>
  <c r="F385" i="9" a="1"/>
  <c r="F385" i="9" s="1"/>
  <c r="F386" i="9" a="1"/>
  <c r="F386" i="9" s="1"/>
  <c r="F387" i="9" a="1"/>
  <c r="F387" i="9" s="1"/>
  <c r="F388" i="9" a="1"/>
  <c r="F388" i="9" s="1"/>
  <c r="F389" i="9" a="1"/>
  <c r="F389" i="9" s="1"/>
  <c r="F390" i="9" a="1"/>
  <c r="F390" i="9" s="1"/>
  <c r="F391" i="9" a="1"/>
  <c r="F391" i="9" s="1"/>
  <c r="F392" i="9" a="1"/>
  <c r="F392" i="9" s="1"/>
  <c r="F393" i="9" a="1"/>
  <c r="F393" i="9" s="1"/>
  <c r="F394" i="9" a="1"/>
  <c r="F394" i="9" s="1"/>
  <c r="F395" i="9" a="1"/>
  <c r="F395" i="9" s="1"/>
  <c r="F396" i="9" a="1"/>
  <c r="F396" i="9" s="1"/>
  <c r="F397" i="9" a="1"/>
  <c r="F397" i="9" s="1"/>
  <c r="F398" i="9" a="1"/>
  <c r="F398" i="9" s="1"/>
  <c r="F399" i="9" a="1"/>
  <c r="F399" i="9" s="1"/>
  <c r="F400" i="9" a="1"/>
  <c r="F400" i="9" s="1"/>
  <c r="F401" i="9" a="1"/>
  <c r="F401" i="9" s="1"/>
  <c r="F402" i="9" a="1"/>
  <c r="F402" i="9" s="1"/>
  <c r="F403" i="9" a="1"/>
  <c r="F403" i="9" s="1"/>
  <c r="F404" i="9" a="1"/>
  <c r="F404" i="9" s="1"/>
  <c r="F405" i="9" a="1"/>
  <c r="F405" i="9" s="1"/>
  <c r="F406" i="9" a="1"/>
  <c r="F406" i="9" s="1"/>
  <c r="F407" i="9" a="1"/>
  <c r="F407" i="9" s="1"/>
  <c r="F408" i="9" a="1"/>
  <c r="F408" i="9" s="1"/>
  <c r="F409" i="9" a="1"/>
  <c r="F409" i="9" s="1"/>
  <c r="F410" i="9" a="1"/>
  <c r="F410" i="9" s="1"/>
  <c r="F411" i="9" a="1"/>
  <c r="F411" i="9" s="1"/>
  <c r="F412" i="9" a="1"/>
  <c r="F412" i="9" s="1"/>
  <c r="F413" i="9" a="1"/>
  <c r="F413" i="9" s="1"/>
  <c r="F414" i="9" a="1"/>
  <c r="F414" i="9" s="1"/>
  <c r="F415" i="9" a="1"/>
  <c r="F415" i="9" s="1"/>
  <c r="F416" i="9" a="1"/>
  <c r="F416" i="9" s="1"/>
  <c r="F417" i="9" a="1"/>
  <c r="F417" i="9" s="1"/>
  <c r="F418" i="9" a="1"/>
  <c r="F418" i="9" s="1"/>
  <c r="F419" i="9" a="1"/>
  <c r="F419" i="9" s="1"/>
  <c r="F420" i="9" a="1"/>
  <c r="F420" i="9" s="1"/>
  <c r="F421" i="9" a="1"/>
  <c r="F421" i="9" s="1"/>
  <c r="F422" i="9" a="1"/>
  <c r="F422" i="9" s="1"/>
  <c r="F423" i="9" a="1"/>
  <c r="F423" i="9" s="1"/>
  <c r="F424" i="9" a="1"/>
  <c r="F424" i="9" s="1"/>
  <c r="F425" i="9" a="1"/>
  <c r="F425" i="9" s="1"/>
  <c r="F426" i="9" a="1"/>
  <c r="F426" i="9" s="1"/>
  <c r="F427" i="9" a="1"/>
  <c r="F427" i="9" s="1"/>
  <c r="F428" i="9" a="1"/>
  <c r="F428" i="9" s="1"/>
  <c r="F429" i="9" a="1"/>
  <c r="F429" i="9" s="1"/>
  <c r="F430" i="9" a="1"/>
  <c r="F430" i="9" s="1"/>
  <c r="F431" i="9" a="1"/>
  <c r="F431" i="9" s="1"/>
  <c r="F432" i="9" a="1"/>
  <c r="F432" i="9" s="1"/>
  <c r="F433" i="9" a="1"/>
  <c r="F433" i="9" s="1"/>
  <c r="F434" i="9" a="1"/>
  <c r="F434" i="9" s="1"/>
  <c r="F435" i="9" a="1"/>
  <c r="F435" i="9" s="1"/>
  <c r="F436" i="9" a="1"/>
  <c r="F436" i="9" s="1"/>
  <c r="F437" i="9" a="1"/>
  <c r="F437" i="9" s="1"/>
  <c r="F438" i="9" a="1"/>
  <c r="F438" i="9" s="1"/>
  <c r="F439" i="9" a="1"/>
  <c r="F439" i="9" s="1"/>
  <c r="F440" i="9" a="1"/>
  <c r="F440" i="9" s="1"/>
  <c r="F441" i="9" a="1"/>
  <c r="F441" i="9" s="1"/>
  <c r="F442" i="9" a="1"/>
  <c r="F442" i="9" s="1"/>
  <c r="F443" i="9" a="1"/>
  <c r="F443" i="9" s="1"/>
  <c r="F444" i="9" a="1"/>
  <c r="F444" i="9" s="1"/>
  <c r="F445" i="9" a="1"/>
  <c r="F445" i="9" s="1"/>
  <c r="F446" i="9" a="1"/>
  <c r="F446" i="9" s="1"/>
  <c r="F447" i="9" a="1"/>
  <c r="F447" i="9" s="1"/>
  <c r="F448" i="9" a="1"/>
  <c r="F448" i="9" s="1"/>
  <c r="F449" i="9" a="1"/>
  <c r="F449" i="9" s="1"/>
  <c r="F450" i="9" a="1"/>
  <c r="F450" i="9" s="1"/>
  <c r="F451" i="9" a="1"/>
  <c r="F451" i="9" s="1"/>
  <c r="F452" i="9" a="1"/>
  <c r="F452" i="9" s="1"/>
  <c r="F453" i="9" a="1"/>
  <c r="F453" i="9" s="1"/>
  <c r="F454" i="9" a="1"/>
  <c r="F454" i="9" s="1"/>
  <c r="F455" i="9" a="1"/>
  <c r="F455" i="9" s="1"/>
  <c r="F456" i="9" a="1"/>
  <c r="F456" i="9" s="1"/>
  <c r="F457" i="9" a="1"/>
  <c r="F457" i="9" s="1"/>
  <c r="F458" i="9" a="1"/>
  <c r="F458" i="9" s="1"/>
  <c r="F459" i="9" a="1"/>
  <c r="F459" i="9" s="1"/>
  <c r="F460" i="9" a="1"/>
  <c r="F460" i="9" s="1"/>
  <c r="F461" i="9" a="1"/>
  <c r="F461" i="9" s="1"/>
  <c r="F462" i="9" a="1"/>
  <c r="F462" i="9" s="1"/>
  <c r="F463" i="9" a="1"/>
  <c r="F463" i="9" s="1"/>
  <c r="F464" i="9" a="1"/>
  <c r="F464" i="9" s="1"/>
  <c r="F465" i="9" a="1"/>
  <c r="F465" i="9" s="1"/>
  <c r="F466" i="9" a="1"/>
  <c r="F466" i="9" s="1"/>
  <c r="F467" i="9" a="1"/>
  <c r="F467" i="9" s="1"/>
  <c r="F468" i="9" a="1"/>
  <c r="F468" i="9" s="1"/>
  <c r="F469" i="9" a="1"/>
  <c r="F469" i="9" s="1"/>
  <c r="F470" i="9" a="1"/>
  <c r="F470" i="9" s="1"/>
  <c r="F471" i="9" a="1"/>
  <c r="F471" i="9" s="1"/>
  <c r="F472" i="9" a="1"/>
  <c r="F472" i="9" s="1"/>
  <c r="F473" i="9" a="1"/>
  <c r="F473" i="9" s="1"/>
  <c r="F474" i="9" a="1"/>
  <c r="F474" i="9" s="1"/>
  <c r="F475" i="9" a="1"/>
  <c r="F475" i="9" s="1"/>
  <c r="F476" i="9" a="1"/>
  <c r="F476" i="9" s="1"/>
  <c r="F477" i="9" a="1"/>
  <c r="F477" i="9" s="1"/>
  <c r="F478" i="9" a="1"/>
  <c r="F478" i="9" s="1"/>
  <c r="F479" i="9" a="1"/>
  <c r="F479" i="9" s="1"/>
  <c r="F480" i="9" a="1"/>
  <c r="F480" i="9" s="1"/>
  <c r="F481" i="9" a="1"/>
  <c r="F481" i="9" s="1"/>
  <c r="F482" i="9" a="1"/>
  <c r="F482" i="9" s="1"/>
  <c r="F483" i="9" a="1"/>
  <c r="F483" i="9" s="1"/>
  <c r="F484" i="9" a="1"/>
  <c r="F484" i="9" s="1"/>
  <c r="F485" i="9" a="1"/>
  <c r="F485" i="9" s="1"/>
  <c r="F486" i="9" a="1"/>
  <c r="F486" i="9" s="1"/>
  <c r="F487" i="9" a="1"/>
  <c r="F487" i="9" s="1"/>
  <c r="F488" i="9" a="1"/>
  <c r="F488" i="9" s="1"/>
  <c r="F489" i="9" a="1"/>
  <c r="F489" i="9" s="1"/>
  <c r="F490" i="9" a="1"/>
  <c r="F490" i="9" s="1"/>
  <c r="F491" i="9" a="1"/>
  <c r="F491" i="9" s="1"/>
  <c r="F492" i="9" a="1"/>
  <c r="F492" i="9" s="1"/>
  <c r="F493" i="9" a="1"/>
  <c r="F493" i="9" s="1"/>
  <c r="F494" i="9" a="1"/>
  <c r="F494" i="9" s="1"/>
  <c r="F495" i="9" a="1"/>
  <c r="F495" i="9" s="1"/>
  <c r="F496" i="9" a="1"/>
  <c r="F496" i="9" s="1"/>
  <c r="F497" i="9" a="1"/>
  <c r="F497" i="9" s="1"/>
  <c r="F498" i="9" a="1"/>
  <c r="F498" i="9" s="1"/>
  <c r="F499" i="9" a="1"/>
  <c r="F499" i="9" s="1"/>
  <c r="F500" i="9" a="1"/>
  <c r="F500" i="9" s="1"/>
  <c r="F2" i="9" a="1"/>
  <c r="F2" i="9" s="1"/>
  <c r="M7" i="1" l="1"/>
  <c r="H7" i="1"/>
  <c r="I4" i="1" l="1"/>
  <c r="I4" i="6"/>
  <c r="D4" i="6" l="1"/>
  <c r="F4" i="6" s="1"/>
  <c r="H4" i="6" s="1"/>
  <c r="D4" i="1" l="1"/>
  <c r="F4" i="1" s="1"/>
  <c r="H4" i="1" s="1"/>
  <c r="B13" i="11"/>
  <c r="B4" i="1"/>
  <c r="B6" i="11"/>
  <c r="B4" i="6"/>
  <c r="A7" i="1" l="1"/>
  <c r="A7" i="6"/>
</calcChain>
</file>

<file path=xl/sharedStrings.xml><?xml version="1.0" encoding="utf-8"?>
<sst xmlns="http://schemas.openxmlformats.org/spreadsheetml/2006/main" count="298" uniqueCount="132">
  <si>
    <t>المتوفر</t>
  </si>
  <si>
    <t>المتوفر باكيت</t>
  </si>
  <si>
    <t>Column1</t>
  </si>
  <si>
    <t>Column2</t>
  </si>
  <si>
    <t>Column3</t>
  </si>
  <si>
    <t>Sell</t>
  </si>
  <si>
    <t>Sales</t>
  </si>
  <si>
    <t>Order Type</t>
  </si>
  <si>
    <t>Order Number</t>
  </si>
  <si>
    <t>Total</t>
  </si>
  <si>
    <t>Discount</t>
  </si>
  <si>
    <t>Total After Discount</t>
  </si>
  <si>
    <t>Amount Paid</t>
  </si>
  <si>
    <t>Amount Left</t>
  </si>
  <si>
    <t>Time</t>
  </si>
  <si>
    <t>Item</t>
  </si>
  <si>
    <t>Amount/Single</t>
  </si>
  <si>
    <t>Box Price</t>
  </si>
  <si>
    <t>Single Item Price</t>
  </si>
  <si>
    <t>Number of Items in Box</t>
  </si>
  <si>
    <t>Avalaible</t>
  </si>
  <si>
    <t>Correction of no. item in box</t>
  </si>
  <si>
    <t>Order No.</t>
  </si>
  <si>
    <t>Item No.</t>
  </si>
  <si>
    <t>Purchases</t>
  </si>
  <si>
    <t>Distributer</t>
  </si>
  <si>
    <t>Amount/Boxes</t>
  </si>
  <si>
    <t>Purchase</t>
  </si>
  <si>
    <t>Delayed Payments</t>
  </si>
  <si>
    <t>Payment to Distibuter</t>
  </si>
  <si>
    <t>Daily Purchases-Sales Report</t>
  </si>
  <si>
    <t>Item Pricing</t>
  </si>
  <si>
    <t>ID</t>
  </si>
  <si>
    <t>Box Purchase Price</t>
  </si>
  <si>
    <t>Box Sale Price</t>
  </si>
  <si>
    <t>Single Item Sale Price</t>
  </si>
  <si>
    <t>No. of Items in Box</t>
  </si>
  <si>
    <t>Notes</t>
  </si>
  <si>
    <t>Amount Available</t>
  </si>
  <si>
    <t>Green Tea</t>
  </si>
  <si>
    <t>Fresh and organic</t>
  </si>
  <si>
    <t>Black Tea</t>
  </si>
  <si>
    <t>Rich flavor</t>
  </si>
  <si>
    <t>Herbal Tea</t>
  </si>
  <si>
    <t>Caffeine-free</t>
  </si>
  <si>
    <t>Chamomile Tea</t>
  </si>
  <si>
    <t>Relaxing</t>
  </si>
  <si>
    <t>Earl Grey Tea</t>
  </si>
  <si>
    <t>Citrus aroma</t>
  </si>
  <si>
    <t>Jasmine Tea</t>
  </si>
  <si>
    <t>Fragrant</t>
  </si>
  <si>
    <t>Peppermint Tea</t>
  </si>
  <si>
    <t>Soothing</t>
  </si>
  <si>
    <t>Rooibos Tea</t>
  </si>
  <si>
    <t>Oolong Tea</t>
  </si>
  <si>
    <t>Traditional</t>
  </si>
  <si>
    <t>Matcha Green Tea</t>
  </si>
  <si>
    <t>High quality</t>
  </si>
  <si>
    <t>Mobile Phone Number</t>
  </si>
  <si>
    <t>LandLine Number</t>
  </si>
  <si>
    <t>Address</t>
  </si>
  <si>
    <t>Additional Info</t>
  </si>
  <si>
    <t>ABC Distributors</t>
  </si>
  <si>
    <t>123 Main Street</t>
  </si>
  <si>
    <t>Fast and reliable</t>
  </si>
  <si>
    <t>XYZ Suppliers</t>
  </si>
  <si>
    <t>456 Elm Avenue</t>
  </si>
  <si>
    <t>Wholesale prices</t>
  </si>
  <si>
    <t>Global Traders</t>
  </si>
  <si>
    <t>789 Oak Road</t>
  </si>
  <si>
    <t>International orders</t>
  </si>
  <si>
    <t>Reliable Imports</t>
  </si>
  <si>
    <t>567 Pine Lane</t>
  </si>
  <si>
    <t>Quality products</t>
  </si>
  <si>
    <t>Mega Distributors</t>
  </si>
  <si>
    <t>901 Maple Street</t>
  </si>
  <si>
    <t>Large inventory</t>
  </si>
  <si>
    <t>Superior Suppliers</t>
  </si>
  <si>
    <t>234 Cedar Avenue</t>
  </si>
  <si>
    <t>Competitive prices</t>
  </si>
  <si>
    <t>Prime Traders</t>
  </si>
  <si>
    <t>678 Walnut Road</t>
  </si>
  <si>
    <t>Fast shipping</t>
  </si>
  <si>
    <t>Global Imports</t>
  </si>
  <si>
    <t>1234 Birch Drive</t>
  </si>
  <si>
    <t>Wide product range</t>
  </si>
  <si>
    <t>Elite Distributors</t>
  </si>
  <si>
    <t>4321 Spruce Court</t>
  </si>
  <si>
    <t>Exclusive deals</t>
  </si>
  <si>
    <t>Pro Suppliers</t>
  </si>
  <si>
    <t>876 Elmwood Avenue</t>
  </si>
  <si>
    <t>Excellent service</t>
  </si>
  <si>
    <t>Distributers</t>
  </si>
  <si>
    <t>John Smith</t>
  </si>
  <si>
    <t>Regular customer</t>
  </si>
  <si>
    <t>Emma Johnson</t>
  </si>
  <si>
    <t>VIP member</t>
  </si>
  <si>
    <t>David Brown</t>
  </si>
  <si>
    <t>New customer</t>
  </si>
  <si>
    <t>Sarah Wilson</t>
  </si>
  <si>
    <t>Wholesale buyer</t>
  </si>
  <si>
    <t>Michael Davis</t>
  </si>
  <si>
    <t>Online orders</t>
  </si>
  <si>
    <t>Laura Lee</t>
  </si>
  <si>
    <t>Corporate client</t>
  </si>
  <si>
    <t>James Miller</t>
  </si>
  <si>
    <t>Emily Clark</t>
  </si>
  <si>
    <t>Frequent buyer</t>
  </si>
  <si>
    <t>Daniel Green</t>
  </si>
  <si>
    <t>Referral program</t>
  </si>
  <si>
    <t>Olivia White</t>
  </si>
  <si>
    <t>Discount program</t>
  </si>
  <si>
    <t>Unkown</t>
  </si>
  <si>
    <t>-</t>
  </si>
  <si>
    <t>Bills</t>
  </si>
  <si>
    <t>Bill Details</t>
  </si>
  <si>
    <t>Total number of Items</t>
  </si>
  <si>
    <t>Row Labels</t>
  </si>
  <si>
    <t>Sum of Total number of Items</t>
  </si>
  <si>
    <t>Sum of Amount Left</t>
  </si>
  <si>
    <t>Distributer Totals</t>
  </si>
  <si>
    <t>Sum of Amount Paid</t>
  </si>
  <si>
    <t>Sum of Total After Discount</t>
  </si>
  <si>
    <t>left</t>
  </si>
  <si>
    <t>Grand Total</t>
  </si>
  <si>
    <t>Available items Ordered Alphabetically</t>
  </si>
  <si>
    <t>Customer</t>
  </si>
  <si>
    <t>Payment from Customer</t>
  </si>
  <si>
    <t>Customer/Distributer</t>
  </si>
  <si>
    <t>Customer Totals</t>
  </si>
  <si>
    <t>Customers</t>
  </si>
  <si>
    <t>Use This For Unkown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</si>
</sst>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\ h:mm"/>
    <numFmt numFmtId="165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20"/>
      <color theme="0"/>
      <name val="Traditional Arabic"/>
      <family val="1"/>
    </font>
    <font>
      <sz val="8"/>
      <color theme="1"/>
      <name val="Calibri"/>
      <family val="2"/>
      <scheme val="minor"/>
    </font>
    <font>
      <b/>
      <sz val="18"/>
      <color theme="0"/>
      <name val="Traditional Arabic"/>
      <family val="1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center" readingOrder="2"/>
    </xf>
    <xf numFmtId="0" fontId="10" fillId="9" borderId="0" xfId="0" applyFont="1" applyFill="1" applyAlignment="1">
      <alignment horizontal="center" vertical="center" readingOrder="2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11" fillId="4" borderId="0" xfId="0" applyFont="1" applyFill="1" applyAlignment="1" applyProtection="1">
      <alignment vertical="top" shrinkToFit="1" readingOrder="1"/>
    </xf>
    <xf numFmtId="0" fontId="7" fillId="0" borderId="0" xfId="0" applyFont="1" applyAlignment="1" applyProtection="1">
      <alignment horizontal="center" vertical="center" shrinkToFit="1" readingOrder="1"/>
    </xf>
    <xf numFmtId="0" fontId="7" fillId="0" borderId="0" xfId="0" applyFont="1" applyAlignment="1" applyProtection="1">
      <alignment horizontal="center" vertical="center" shrinkToFit="1" readingOrder="1"/>
      <protection locked="0"/>
    </xf>
    <xf numFmtId="0" fontId="7" fillId="0" borderId="0" xfId="0" applyFont="1" applyAlignment="1" applyProtection="1">
      <alignment horizontal="center" vertical="center" shrinkToFit="1" readingOrder="1"/>
      <protection hidden="1"/>
    </xf>
    <xf numFmtId="0" fontId="7" fillId="3" borderId="2" xfId="0" applyFont="1" applyFill="1" applyBorder="1" applyAlignment="1" applyProtection="1">
      <alignment horizontal="center" vertical="center" shrinkToFit="1" readingOrder="1"/>
      <protection locked="0"/>
    </xf>
    <xf numFmtId="164" fontId="12" fillId="0" borderId="0" xfId="0" applyNumberFormat="1" applyFont="1" applyAlignment="1" applyProtection="1">
      <alignment horizontal="center" vertical="center" shrinkToFit="1" readingOrder="1"/>
      <protection hidden="1"/>
    </xf>
    <xf numFmtId="0" fontId="0" fillId="0" borderId="1" xfId="0" applyBorder="1" applyAlignment="1" applyProtection="1">
      <alignment horizontal="center" vertical="center" shrinkToFit="1" readingOrder="1"/>
      <protection locked="0"/>
    </xf>
    <xf numFmtId="0" fontId="0" fillId="0" borderId="10" xfId="0" applyBorder="1" applyAlignment="1" applyProtection="1">
      <alignment horizontal="center" vertical="center" shrinkToFit="1" readingOrder="1"/>
      <protection locked="0"/>
    </xf>
    <xf numFmtId="0" fontId="0" fillId="0" borderId="11" xfId="0" applyBorder="1" applyAlignment="1" applyProtection="1">
      <alignment horizontal="center" vertical="center" shrinkToFit="1" readingOrder="1"/>
      <protection hidden="1"/>
    </xf>
    <xf numFmtId="0" fontId="0" fillId="0" borderId="12" xfId="0" applyBorder="1" applyAlignment="1" applyProtection="1">
      <alignment horizontal="center" vertical="center" shrinkToFit="1" readingOrder="1"/>
      <protection hidden="1"/>
    </xf>
    <xf numFmtId="0" fontId="7" fillId="3" borderId="12" xfId="0" applyFont="1" applyFill="1" applyBorder="1" applyAlignment="1" applyProtection="1">
      <alignment horizontal="center" vertical="center" shrinkToFit="1" readingOrder="1"/>
      <protection locked="0"/>
    </xf>
    <xf numFmtId="0" fontId="0" fillId="3" borderId="12" xfId="0" applyFill="1" applyBorder="1" applyAlignment="1" applyProtection="1">
      <alignment horizontal="center" vertical="center" shrinkToFit="1" readingOrder="1"/>
      <protection locked="0"/>
    </xf>
    <xf numFmtId="0" fontId="0" fillId="3" borderId="13" xfId="0" applyFill="1" applyBorder="1" applyAlignment="1" applyProtection="1">
      <alignment horizontal="center" vertical="center" shrinkToFit="1" readingOrder="1"/>
      <protection locked="0"/>
    </xf>
    <xf numFmtId="0" fontId="14" fillId="0" borderId="0" xfId="0" applyFont="1" applyAlignment="1" applyProtection="1">
      <alignment horizontal="center" vertical="center" shrinkToFit="1" readingOrder="1"/>
    </xf>
    <xf numFmtId="0" fontId="14" fillId="0" borderId="1" xfId="0" applyFont="1" applyBorder="1" applyAlignment="1" applyProtection="1">
      <alignment horizontal="center" vertical="center" shrinkToFit="1" readingOrder="1"/>
    </xf>
    <xf numFmtId="0" fontId="5" fillId="5" borderId="0" xfId="0" applyFont="1" applyFill="1" applyAlignment="1" applyProtection="1">
      <alignment vertical="center" shrinkToFit="1" readingOrder="1"/>
    </xf>
    <xf numFmtId="0" fontId="9" fillId="0" borderId="0" xfId="0" applyFont="1" applyAlignment="1" applyProtection="1">
      <alignment horizontal="center" vertical="center" shrinkToFit="1" readingOrder="1"/>
    </xf>
    <xf numFmtId="0" fontId="0" fillId="0" borderId="0" xfId="0" applyAlignment="1" applyProtection="1">
      <alignment horizontal="center" vertical="center" shrinkToFit="1" readingOrder="1"/>
    </xf>
    <xf numFmtId="0" fontId="0" fillId="3" borderId="5" xfId="0" applyFill="1" applyBorder="1" applyAlignment="1" applyProtection="1">
      <alignment horizontal="center" vertical="center" shrinkToFit="1" readingOrder="1"/>
      <protection locked="0"/>
    </xf>
    <xf numFmtId="0" fontId="0" fillId="3" borderId="3" xfId="0" applyFill="1" applyBorder="1" applyAlignment="1" applyProtection="1">
      <alignment horizontal="center" vertical="center" shrinkToFit="1" readingOrder="1"/>
      <protection locked="0"/>
    </xf>
    <xf numFmtId="0" fontId="0" fillId="3" borderId="4" xfId="0" applyFill="1" applyBorder="1" applyAlignment="1" applyProtection="1">
      <alignment horizontal="center" vertical="center" shrinkToFit="1" readingOrder="1"/>
      <protection locked="0"/>
    </xf>
    <xf numFmtId="0" fontId="0" fillId="0" borderId="0" xfId="0" applyNumberFormat="1" applyAlignment="1" applyProtection="1">
      <alignment horizontal="center" vertical="center" shrinkToFit="1" readingOrder="1"/>
    </xf>
    <xf numFmtId="0" fontId="2" fillId="5" borderId="0" xfId="0" applyFont="1" applyFill="1" applyAlignment="1" applyProtection="1">
      <alignment vertical="center" shrinkToFit="1" readingOrder="1"/>
    </xf>
    <xf numFmtId="0" fontId="0" fillId="0" borderId="0" xfId="0" applyAlignment="1" applyProtection="1">
      <alignment readingOrder="1"/>
      <protection hidden="1"/>
    </xf>
    <xf numFmtId="0" fontId="0" fillId="0" borderId="0" xfId="0" applyBorder="1" applyAlignment="1" applyProtection="1">
      <alignment readingOrder="1"/>
      <protection hidden="1"/>
    </xf>
    <xf numFmtId="0" fontId="9" fillId="0" borderId="0" xfId="0" applyFont="1" applyAlignment="1" applyProtection="1">
      <alignment horizontal="center" vertical="center" shrinkToFit="1" readingOrder="1"/>
      <protection hidden="1"/>
    </xf>
    <xf numFmtId="0" fontId="7" fillId="3" borderId="7" xfId="0" applyFont="1" applyFill="1" applyBorder="1" applyAlignment="1" applyProtection="1">
      <alignment horizontal="center" vertical="center" shrinkToFit="1" readingOrder="1"/>
      <protection locked="0" hidden="1"/>
    </xf>
    <xf numFmtId="0" fontId="7" fillId="0" borderId="0" xfId="0" applyFont="1" applyAlignment="1" applyProtection="1">
      <alignment horizontal="center" vertical="center" shrinkToFit="1" readingOrder="1"/>
      <protection locked="0" hidden="1"/>
    </xf>
    <xf numFmtId="0" fontId="0" fillId="12" borderId="8" xfId="0" applyFill="1" applyBorder="1" applyAlignment="1" applyProtection="1">
      <alignment readingOrder="1"/>
      <protection hidden="1"/>
    </xf>
    <xf numFmtId="0" fontId="0" fillId="12" borderId="0" xfId="0" applyFill="1" applyBorder="1" applyAlignment="1" applyProtection="1">
      <alignment readingOrder="1"/>
      <protection hidden="1"/>
    </xf>
    <xf numFmtId="0" fontId="0" fillId="12" borderId="9" xfId="0" applyFill="1" applyBorder="1" applyAlignment="1" applyProtection="1">
      <alignment readingOrder="1"/>
      <protection hidden="1"/>
    </xf>
    <xf numFmtId="0" fontId="7" fillId="3" borderId="2" xfId="0" applyFont="1" applyFill="1" applyBorder="1" applyAlignment="1" applyProtection="1">
      <alignment horizontal="center" vertical="center" shrinkToFit="1" readingOrder="1"/>
      <protection locked="0" hidden="1"/>
    </xf>
    <xf numFmtId="0" fontId="0" fillId="0" borderId="0" xfId="0" applyAlignment="1">
      <alignment horizontal="center" vertical="center" shrinkToFit="1" readingOrder="1"/>
    </xf>
    <xf numFmtId="0" fontId="0" fillId="0" borderId="0" xfId="0" applyAlignment="1">
      <alignment readingOrder="1"/>
    </xf>
    <xf numFmtId="0" fontId="7" fillId="0" borderId="0" xfId="0" applyFont="1" applyAlignment="1">
      <alignment horizontal="center" vertical="center" shrinkToFit="1" readingOrder="1"/>
    </xf>
    <xf numFmtId="0" fontId="7" fillId="0" borderId="0" xfId="0" applyFont="1" applyAlignment="1">
      <alignment shrinkToFit="1" readingOrder="1"/>
    </xf>
    <xf numFmtId="0" fontId="8" fillId="0" borderId="0" xfId="0" applyFont="1" applyAlignment="1">
      <alignment horizontal="center" vertical="top" shrinkToFit="1" readingOrder="1"/>
    </xf>
    <xf numFmtId="49" fontId="7" fillId="0" borderId="0" xfId="0" applyNumberFormat="1" applyFont="1" applyAlignment="1">
      <alignment horizontal="center" vertical="center" shrinkToFit="1" readingOrder="1"/>
    </xf>
    <xf numFmtId="0" fontId="7" fillId="0" borderId="0" xfId="0" applyNumberFormat="1" applyFont="1" applyAlignment="1">
      <alignment horizontal="center" vertical="center" shrinkToFit="1" readingOrder="1"/>
    </xf>
    <xf numFmtId="164" fontId="7" fillId="0" borderId="0" xfId="0" applyNumberFormat="1" applyFont="1" applyAlignment="1">
      <alignment horizontal="center" vertical="center" shrinkToFit="1" readingOrder="1"/>
    </xf>
    <xf numFmtId="22" fontId="7" fillId="0" borderId="0" xfId="0" applyNumberFormat="1" applyFont="1" applyAlignment="1">
      <alignment horizontal="center" vertical="center" shrinkToFit="1" readingOrder="1"/>
    </xf>
    <xf numFmtId="0" fontId="0" fillId="0" borderId="0" xfId="0" pivotButton="1" applyAlignment="1">
      <alignment readingOrder="2"/>
    </xf>
    <xf numFmtId="0" fontId="0" fillId="0" borderId="0" xfId="0" applyAlignment="1">
      <alignment horizontal="left" readingOrder="2"/>
    </xf>
    <xf numFmtId="0" fontId="0" fillId="0" borderId="0" xfId="0" applyAlignment="1">
      <alignment readingOrder="2"/>
    </xf>
    <xf numFmtId="0" fontId="0" fillId="0" borderId="0" xfId="0" applyNumberFormat="1" applyAlignment="1">
      <alignment readingOrder="2"/>
    </xf>
    <xf numFmtId="0" fontId="0" fillId="0" borderId="0" xfId="0" pivotButton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0" fontId="16" fillId="0" borderId="0" xfId="0" applyFont="1" applyAlignment="1">
      <alignment horizontal="center" vertical="center" shrinkToFit="1"/>
    </xf>
    <xf numFmtId="0" fontId="0" fillId="0" borderId="0" xfId="0" pivotButton="1" applyAlignment="1">
      <alignment horizontal="center" vertical="center" shrinkToFit="1" readingOrder="1"/>
    </xf>
    <xf numFmtId="0" fontId="0" fillId="0" borderId="0" xfId="0" applyNumberFormat="1" applyAlignment="1">
      <alignment horizontal="center" vertical="center" shrinkToFit="1" readingOrder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7" fillId="0" borderId="1" xfId="0" applyFont="1" applyBorder="1" applyAlignment="1">
      <alignment horizontal="center" vertical="center" shrinkToFit="1" readingOrder="1"/>
    </xf>
    <xf numFmtId="0" fontId="17" fillId="0" borderId="1" xfId="0" applyFont="1" applyBorder="1" applyAlignment="1" applyProtection="1">
      <alignment horizontal="center" vertical="center" shrinkToFit="1" readingOrder="1"/>
    </xf>
    <xf numFmtId="165" fontId="7" fillId="0" borderId="0" xfId="0" applyNumberFormat="1" applyFont="1" applyAlignment="1" applyProtection="1">
      <alignment horizontal="center" vertical="center" shrinkToFit="1" readingOrder="1"/>
      <protection hidden="1"/>
    </xf>
    <xf numFmtId="165" fontId="7" fillId="3" borderId="2" xfId="0" applyNumberFormat="1" applyFont="1" applyFill="1" applyBorder="1" applyAlignment="1" applyProtection="1">
      <alignment horizontal="center" vertical="center" shrinkToFit="1" readingOrder="1"/>
      <protection locked="0" hidden="1"/>
    </xf>
    <xf numFmtId="165" fontId="7" fillId="3" borderId="7" xfId="0" applyNumberFormat="1" applyFont="1" applyFill="1" applyBorder="1" applyAlignment="1" applyProtection="1">
      <alignment horizontal="center" vertical="center" shrinkToFit="1" readingOrder="1"/>
      <protection locked="0" hidden="1"/>
    </xf>
    <xf numFmtId="165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wrapText="1" shrinkToFit="1" readingOrder="1"/>
    </xf>
    <xf numFmtId="0" fontId="0" fillId="0" borderId="0" xfId="0" applyAlignment="1">
      <alignment horizontal="center" vertical="center" shrinkToFit="1" readingOrder="1"/>
    </xf>
    <xf numFmtId="0" fontId="0" fillId="0" borderId="0" xfId="0" applyAlignment="1">
      <alignment horizontal="center" vertical="center" wrapText="1" shrinkToFit="1" readingOrder="1"/>
    </xf>
    <xf numFmtId="165" fontId="0" fillId="0" borderId="12" xfId="0" applyNumberFormat="1" applyBorder="1" applyAlignment="1" applyProtection="1">
      <alignment horizontal="center" vertical="center" shrinkToFit="1" readingOrder="1"/>
      <protection hidden="1"/>
    </xf>
    <xf numFmtId="165" fontId="7" fillId="3" borderId="2" xfId="0" applyNumberFormat="1" applyFont="1" applyFill="1" applyBorder="1" applyAlignment="1" applyProtection="1">
      <alignment horizontal="center" vertical="center" shrinkToFit="1" readingOrder="1"/>
      <protection locked="0"/>
    </xf>
    <xf numFmtId="165" fontId="0" fillId="0" borderId="0" xfId="0" applyNumberFormat="1" applyAlignment="1" applyProtection="1">
      <alignment horizontal="center" vertical="center" shrinkToFit="1" readingOrder="1"/>
    </xf>
    <xf numFmtId="165" fontId="0" fillId="3" borderId="6" xfId="0" applyNumberFormat="1" applyFill="1" applyBorder="1" applyAlignment="1" applyProtection="1">
      <alignment horizontal="center" vertical="center" shrinkToFit="1" readingOrder="1"/>
      <protection locked="0"/>
    </xf>
    <xf numFmtId="165" fontId="7" fillId="0" borderId="0" xfId="0" applyNumberFormat="1" applyFont="1" applyAlignment="1" applyProtection="1">
      <alignment horizontal="center" vertical="center" shrinkToFit="1" readingOrder="1"/>
    </xf>
    <xf numFmtId="0" fontId="5" fillId="4" borderId="0" xfId="0" applyFont="1" applyFill="1" applyAlignment="1" applyProtection="1">
      <alignment horizontal="center" vertical="center" shrinkToFit="1" readingOrder="1"/>
    </xf>
    <xf numFmtId="0" fontId="5" fillId="5" borderId="0" xfId="0" applyFont="1" applyFill="1" applyAlignment="1" applyProtection="1">
      <alignment horizontal="center" vertical="center" shrinkToFit="1" readingOrder="1"/>
    </xf>
    <xf numFmtId="0" fontId="11" fillId="4" borderId="0" xfId="0" applyFont="1" applyFill="1" applyAlignment="1" applyProtection="1">
      <alignment horizontal="center" vertical="top" shrinkToFit="1" readingOrder="1"/>
      <protection hidden="1"/>
    </xf>
    <xf numFmtId="0" fontId="11" fillId="11" borderId="0" xfId="0" applyFont="1" applyFill="1" applyAlignment="1" applyProtection="1">
      <alignment horizontal="center" vertical="top" shrinkToFit="1" readingOrder="1"/>
      <protection hidden="1"/>
    </xf>
    <xf numFmtId="0" fontId="2" fillId="13" borderId="0" xfId="0" applyFont="1" applyFill="1" applyAlignment="1" applyProtection="1">
      <alignment horizontal="center" vertical="center" shrinkToFit="1" readingOrder="1"/>
      <protection hidden="1"/>
    </xf>
    <xf numFmtId="164" fontId="0" fillId="0" borderId="0" xfId="0" applyNumberFormat="1" applyAlignment="1">
      <alignment horizontal="center" vertical="center" wrapText="1" shrinkToFit="1" readingOrder="1"/>
    </xf>
    <xf numFmtId="0" fontId="0" fillId="0" borderId="0" xfId="0" applyAlignment="1">
      <alignment horizontal="center" vertical="center" shrinkToFit="1" readingOrder="1"/>
    </xf>
    <xf numFmtId="0" fontId="0" fillId="0" borderId="0" xfId="0" applyAlignment="1">
      <alignment horizontal="center" vertical="center" wrapText="1" shrinkToFit="1" readingOrder="1"/>
    </xf>
    <xf numFmtId="0" fontId="13" fillId="10" borderId="0" xfId="0" applyFont="1" applyFill="1" applyAlignment="1">
      <alignment horizontal="center" vertical="center" shrinkToFit="1" readingOrder="1"/>
    </xf>
    <xf numFmtId="0" fontId="15" fillId="11" borderId="0" xfId="0" applyFont="1" applyFill="1" applyAlignment="1">
      <alignment horizontal="center" vertical="center" shrinkToFit="1"/>
    </xf>
    <xf numFmtId="0" fontId="15" fillId="10" borderId="0" xfId="0" applyFont="1" applyFill="1" applyAlignment="1">
      <alignment horizontal="center" vertical="center" shrinkToFit="1"/>
    </xf>
    <xf numFmtId="0" fontId="1" fillId="2" borderId="0" xfId="0" applyFont="1" applyFill="1" applyAlignment="1">
      <alignment horizontal="center" vertical="center" shrinkToFit="1" readingOrder="1"/>
    </xf>
    <xf numFmtId="0" fontId="6" fillId="7" borderId="0" xfId="0" applyFont="1" applyFill="1" applyAlignment="1">
      <alignment horizontal="center" vertical="top" shrinkToFit="1" readingOrder="1"/>
    </xf>
    <xf numFmtId="0" fontId="2" fillId="8" borderId="0" xfId="0" applyFont="1" applyFill="1" applyAlignment="1">
      <alignment horizontal="center" vertical="center" shrinkToFit="1" readingOrder="1"/>
    </xf>
    <xf numFmtId="0" fontId="6" fillId="2" borderId="0" xfId="0" applyFont="1" applyFill="1" applyAlignment="1">
      <alignment horizontal="center" vertical="top" shrinkToFit="1" readingOrder="1"/>
    </xf>
    <xf numFmtId="0" fontId="3" fillId="6" borderId="0" xfId="0" applyFont="1" applyFill="1" applyAlignment="1">
      <alignment horizontal="center" vertical="top" shrinkToFit="1" readingOrder="1"/>
    </xf>
  </cellXfs>
  <cellStyles count="1">
    <cellStyle name="Normal" xfId="0" builtinId="0"/>
  </cellStyles>
  <dxfs count="170">
    <dxf>
      <font>
        <color rgb="FF9C0006"/>
      </font>
      <fill>
        <patternFill>
          <bgColor rgb="FFFFC7CE"/>
        </patternFill>
      </fill>
    </dxf>
    <dxf>
      <alignment readingOrder="2"/>
    </dxf>
    <dxf>
      <alignment readingOrder="2"/>
    </dxf>
    <dxf>
      <alignment readingOrder="2"/>
    </dxf>
    <dxf>
      <alignment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7" formatCode="m/d/yyyy\ h:mm"/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7" formatCode="m/d/yyyy\ h:mm"/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d/m/yyyy\ h:mm"/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</dxf>
    <dxf>
      <alignment horizontal="center" vertical="center" textRotation="0" wrapText="0" indent="0" justifyLastLine="0"/>
    </dxf>
    <dxf>
      <alignment horizontal="center" vertical="center" textRotation="0" wrapText="0" indent="0" justifyLastLine="0"/>
    </dxf>
    <dxf>
      <alignment horizontal="center" vertical="center" textRotation="0" wrapText="0" indent="0" justifyLastLine="0"/>
    </dxf>
    <dxf>
      <numFmt numFmtId="165" formatCode="&quot;$&quot;#,##0.00"/>
      <alignment horizontal="center" vertical="center" textRotation="0" wrapText="0" indent="0" justifyLastLine="0"/>
    </dxf>
    <dxf>
      <numFmt numFmtId="165" formatCode="&quot;$&quot;#,##0.00"/>
      <alignment horizontal="center" vertical="center" textRotation="0" wrapText="0" indent="0" justifyLastLine="0"/>
    </dxf>
    <dxf>
      <numFmt numFmtId="165" formatCode="&quot;$&quot;#,##0.00"/>
      <alignment horizontal="center" vertical="center" textRotation="0" wrapText="0" indent="0" justifyLastLine="0"/>
    </dxf>
    <dxf>
      <alignment horizontal="center" vertical="center" textRotation="0" wrapText="0" indent="0" justifyLastLine="0"/>
    </dxf>
    <dxf>
      <alignment horizontal="center" vertical="center" textRotation="0" wrapText="0" indent="0" justifyLastLine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/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165" formatCode="&quot;$&quot;#,##0.00"/>
    </dxf>
    <dxf>
      <numFmt numFmtId="165" formatCode="&quot;$&quot;#,##0.00"/>
    </dxf>
    <dxf>
      <alignment shrinkToFit="1"/>
    </dxf>
    <dxf>
      <alignment shrinkToFit="1"/>
    </dxf>
    <dxf>
      <alignment shrinkToFit="1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165" formatCode="&quot;$&quot;#,##0.00"/>
    </dxf>
    <dxf>
      <alignment shrinkToFit="1"/>
    </dxf>
    <dxf>
      <alignment shrinkToFit="1"/>
    </dxf>
    <dxf>
      <alignment shrinkToFit="1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readingOrder="1"/>
    </dxf>
    <dxf>
      <alignment readingOrder="1"/>
    </dxf>
    <dxf>
      <alignment wrapText="0" shrinkToFit="1"/>
    </dxf>
    <dxf>
      <alignment wrapText="0" shrinkToFit="1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family val="2"/>
        <scheme val="minor"/>
      </font>
      <numFmt numFmtId="164" formatCode="d/m/yyyy\ h:mm"/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thick">
          <color auto="1"/>
        </left>
        <right style="thick">
          <color auto="1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thick">
          <color auto="1"/>
        </left>
        <right style="thick">
          <color auto="1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thick">
          <color auto="1"/>
        </left>
        <right style="thick">
          <color auto="1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family val="2"/>
        <scheme val="minor"/>
      </font>
      <numFmt numFmtId="164" formatCode="d/m/yyyy\ h:mm"/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border outline="0">
        <left style="thick">
          <color auto="1"/>
        </left>
        <right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border outline="0">
        <left style="thick">
          <color auto="1"/>
        </left>
        <right style="thick">
          <color auto="1"/>
        </right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border outline="0">
        <left style="thick">
          <color auto="1"/>
        </left>
        <right style="thick">
          <color auto="1"/>
        </right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border outline="0">
        <left/>
        <right style="thick">
          <color auto="1"/>
        </right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family val="2"/>
        <scheme val="minor"/>
      </font>
      <numFmt numFmtId="164" formatCode="d/m/yyyy\ h:mm"/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1" readingOrder="1"/>
      <border outline="0">
        <left style="thick">
          <color auto="1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1" readingOrder="1"/>
      <border outline="0">
        <left style="thick">
          <color auto="1"/>
        </left>
        <right style="thick">
          <color auto="1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1" readingOrder="1"/>
      <border outline="0">
        <left style="thick">
          <color auto="1"/>
        </left>
        <right style="thick">
          <color auto="1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border outline="0">
        <left/>
        <right style="thick">
          <color auto="1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/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1" readingOrder="1"/>
      <protection locked="1" hidden="0"/>
    </dxf>
    <dxf>
      <numFmt numFmtId="0" formatCode="General"/>
      <alignment horizontal="center" vertical="center" textRotation="0" wrapText="0" indent="0" justifyLastLine="0" shrinkToFit="1" readingOrder="1"/>
      <protection locked="1" hidden="0"/>
    </dxf>
    <dxf>
      <numFmt numFmtId="165" formatCode="&quot;$&quot;#,##0.00"/>
      <alignment horizontal="center" vertical="center" textRotation="0" wrapText="0" indent="0" justifyLastLine="0" shrinkToFit="1" readingOrder="1"/>
      <protection locked="1" hidden="0"/>
    </dxf>
    <dxf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numFmt numFmtId="165" formatCode="&quot;$&quot;#,##0.00"/>
      <alignment horizontal="center" vertical="center" textRotation="0" wrapText="0" indent="0" justifyLastLine="0" shrinkToFit="1" readingOrder="1"/>
      <border outline="0">
        <left style="medium">
          <color auto="1"/>
        </left>
        <right/>
      </border>
      <protection locked="1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medium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/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alignment horizontal="center" vertical="center" textRotation="0" wrapText="0" indent="0" justifyLastLine="0" shrinkToFit="1" readingOrder="1"/>
      <protection locked="1" hidden="0"/>
    </dxf>
    <dxf>
      <alignment horizontal="center" vertical="center" textRotation="0" wrapText="0" indent="0" justifyLastLine="0" shrinkToFit="1" readingOrder="1"/>
      <protection locked="1" hidden="0"/>
    </dxf>
    <dxf>
      <alignment horizontal="center" vertical="center" textRotation="0" wrapText="0" indent="0" justifyLastLine="0" shrinkToFit="1" readingOrder="1"/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0"/>
    </dxf>
    <dxf>
      <numFmt numFmtId="0" formatCode="General"/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numFmt numFmtId="165" formatCode="&quot;$&quot;#,##0.00"/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numFmt numFmtId="165" formatCode="&quot;$&quot;#,##0.00"/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numFmt numFmtId="165" formatCode="&quot;$&quot;#,##0.00"/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alignment horizontal="center" vertical="center" textRotation="0" wrapText="0" indent="0" justifyLastLine="0" shrinkToFit="1" readingOrder="1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1" readingOrder="1"/>
      <protection locked="0" hidden="0"/>
    </dxf>
    <dxf>
      <border>
        <bottom style="thin">
          <color auto="1"/>
        </bottom>
      </border>
    </dxf>
    <dxf>
      <alignment horizontal="center" vertical="center" textRotation="0" wrapText="0" indent="0" justifyLastLine="0" shrinkToFit="1" readingOrder="1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family val="2"/>
        <scheme val="minor"/>
      </font>
      <numFmt numFmtId="164" formatCode="d/m/yyyy\ h:mm"/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1" readingOrder="1"/>
      <border outline="0">
        <left style="thick">
          <color auto="1"/>
        </left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1" readingOrder="1"/>
      <border outline="0">
        <left style="thick">
          <color auto="1"/>
        </left>
        <right style="thick">
          <color auto="1"/>
        </right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1" readingOrder="1"/>
      <border outline="0">
        <right style="thick">
          <color auto="1"/>
        </right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1"/>
      <border diagonalUp="0" diagonalDown="0" outline="0">
        <left style="thick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1" readingOrder="1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133335</xdr:colOff>
      <xdr:row>0</xdr:row>
      <xdr:rowOff>38089</xdr:rowOff>
    </xdr:from>
    <xdr:to>
      <xdr:col>7</xdr:col>
      <xdr:colOff>90504</xdr:colOff>
      <xdr:row>0</xdr:row>
      <xdr:rowOff>309560</xdr:rowOff>
    </xdr:to>
    <xdr:sp macro="[0]!S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F74C7F-5636-498E-A9C7-98A69E137CCD}"/>
            </a:ext>
          </a:extLst>
        </xdr:cNvPr>
        <xdr:cNvSpPr/>
      </xdr:nvSpPr>
      <xdr:spPr>
        <a:xfrm flipH="1">
          <a:off x="4029060" y="38089"/>
          <a:ext cx="1157319" cy="271471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/>
            <a:t>Sell</a:t>
          </a:r>
        </a:p>
      </xdr:txBody>
    </xdr:sp>
    <xdr:clientData/>
  </xdr:twoCellAnchor>
  <xdr:twoCellAnchor>
    <xdr:from>
      <xdr:col>7</xdr:col>
      <xdr:colOff>252392</xdr:colOff>
      <xdr:row>0</xdr:row>
      <xdr:rowOff>33334</xdr:rowOff>
    </xdr:from>
    <xdr:to>
      <xdr:col>8</xdr:col>
      <xdr:colOff>695336</xdr:colOff>
      <xdr:row>0</xdr:row>
      <xdr:rowOff>304805</xdr:rowOff>
    </xdr:to>
    <xdr:sp macro="[0]!SellsEmpt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00ADA0C-87A4-4850-B4FF-4FDF9447A1EE}"/>
            </a:ext>
          </a:extLst>
        </xdr:cNvPr>
        <xdr:cNvSpPr/>
      </xdr:nvSpPr>
      <xdr:spPr>
        <a:xfrm flipH="1">
          <a:off x="5348267" y="33334"/>
          <a:ext cx="1157319" cy="27147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/>
            <a:t>Cancel</a:t>
          </a:r>
        </a:p>
      </xdr:txBody>
    </xdr:sp>
    <xdr:clientData/>
  </xdr:twoCellAnchor>
  <xdr:twoCellAnchor>
    <xdr:from>
      <xdr:col>9</xdr:col>
      <xdr:colOff>147636</xdr:colOff>
      <xdr:row>0</xdr:row>
      <xdr:rowOff>123824</xdr:rowOff>
    </xdr:from>
    <xdr:to>
      <xdr:col>10</xdr:col>
      <xdr:colOff>690561</xdr:colOff>
      <xdr:row>2</xdr:row>
      <xdr:rowOff>33201</xdr:rowOff>
    </xdr:to>
    <xdr:sp macro="[0]!SellsAddR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0892462-1456-46A6-A8EA-7A78D117AA80}"/>
            </a:ext>
          </a:extLst>
        </xdr:cNvPr>
        <xdr:cNvSpPr/>
      </xdr:nvSpPr>
      <xdr:spPr>
        <a:xfrm flipH="1">
          <a:off x="6819899" y="123824"/>
          <a:ext cx="1371600" cy="309427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/>
            <a:t>Add Item</a:t>
          </a:r>
        </a:p>
      </xdr:txBody>
    </xdr:sp>
    <xdr:clientData/>
  </xdr:twoCellAnchor>
  <xdr:twoCellAnchor>
    <xdr:from>
      <xdr:col>9</xdr:col>
      <xdr:colOff>157162</xdr:colOff>
      <xdr:row>2</xdr:row>
      <xdr:rowOff>85723</xdr:rowOff>
    </xdr:from>
    <xdr:to>
      <xdr:col>10</xdr:col>
      <xdr:colOff>709611</xdr:colOff>
      <xdr:row>3</xdr:row>
      <xdr:rowOff>166682</xdr:rowOff>
    </xdr:to>
    <xdr:sp macro="[0]!SellsdeleteSelectedRow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C90A831-2707-421B-8868-93ECFA4D964A}"/>
            </a:ext>
          </a:extLst>
        </xdr:cNvPr>
        <xdr:cNvSpPr/>
      </xdr:nvSpPr>
      <xdr:spPr>
        <a:xfrm flipH="1">
          <a:off x="6829425" y="485773"/>
          <a:ext cx="1381124" cy="30955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000" b="1"/>
            <a:t>Delete Selected Item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138113</xdr:colOff>
      <xdr:row>0</xdr:row>
      <xdr:rowOff>38100</xdr:rowOff>
    </xdr:from>
    <xdr:to>
      <xdr:col>7</xdr:col>
      <xdr:colOff>95216</xdr:colOff>
      <xdr:row>0</xdr:row>
      <xdr:rowOff>323850</xdr:rowOff>
    </xdr:to>
    <xdr:sp macro="[0]!Module2.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EE0A1D3-4E0C-431D-934D-50F3E8ED9B39}"/>
            </a:ext>
          </a:extLst>
        </xdr:cNvPr>
        <xdr:cNvSpPr/>
      </xdr:nvSpPr>
      <xdr:spPr>
        <a:xfrm flipH="1">
          <a:off x="4033838" y="38100"/>
          <a:ext cx="1157253" cy="2857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/>
            <a:t>Purchase</a:t>
          </a:r>
        </a:p>
      </xdr:txBody>
    </xdr:sp>
    <xdr:clientData/>
  </xdr:twoCellAnchor>
  <xdr:twoCellAnchor>
    <xdr:from>
      <xdr:col>7</xdr:col>
      <xdr:colOff>261914</xdr:colOff>
      <xdr:row>0</xdr:row>
      <xdr:rowOff>38101</xdr:rowOff>
    </xdr:from>
    <xdr:to>
      <xdr:col>8</xdr:col>
      <xdr:colOff>700088</xdr:colOff>
      <xdr:row>0</xdr:row>
      <xdr:rowOff>323851</xdr:rowOff>
    </xdr:to>
    <xdr:sp macro="[0]!PurchasesEmpt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F0EC28-055A-4994-BB72-FB59F64520CA}"/>
            </a:ext>
          </a:extLst>
        </xdr:cNvPr>
        <xdr:cNvSpPr/>
      </xdr:nvSpPr>
      <xdr:spPr>
        <a:xfrm flipH="1">
          <a:off x="5357789" y="38101"/>
          <a:ext cx="1152549" cy="2857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/>
            <a:t>Cancel</a:t>
          </a:r>
        </a:p>
      </xdr:txBody>
    </xdr:sp>
    <xdr:clientData/>
  </xdr:twoCellAnchor>
  <xdr:twoCellAnchor>
    <xdr:from>
      <xdr:col>9</xdr:col>
      <xdr:colOff>390520</xdr:colOff>
      <xdr:row>0</xdr:row>
      <xdr:rowOff>80934</xdr:rowOff>
    </xdr:from>
    <xdr:to>
      <xdr:col>10</xdr:col>
      <xdr:colOff>931984</xdr:colOff>
      <xdr:row>2</xdr:row>
      <xdr:rowOff>14123</xdr:rowOff>
    </xdr:to>
    <xdr:sp macro="[0]!PurchasesAddR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A003DD4-BFAC-461B-B327-048CF134EDE5}"/>
            </a:ext>
          </a:extLst>
        </xdr:cNvPr>
        <xdr:cNvSpPr/>
      </xdr:nvSpPr>
      <xdr:spPr>
        <a:xfrm flipH="1">
          <a:off x="8667012" y="80934"/>
          <a:ext cx="1473449" cy="325912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100" b="1"/>
            <a:t>Add Item</a:t>
          </a:r>
        </a:p>
      </xdr:txBody>
    </xdr:sp>
    <xdr:clientData/>
  </xdr:twoCellAnchor>
  <xdr:twoCellAnchor>
    <xdr:from>
      <xdr:col>9</xdr:col>
      <xdr:colOff>385711</xdr:colOff>
      <xdr:row>2</xdr:row>
      <xdr:rowOff>66644</xdr:rowOff>
    </xdr:from>
    <xdr:to>
      <xdr:col>10</xdr:col>
      <xdr:colOff>943707</xdr:colOff>
      <xdr:row>3</xdr:row>
      <xdr:rowOff>133315</xdr:rowOff>
    </xdr:to>
    <xdr:sp macro="[0]!PurchasesdeleteSelectedRo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9C4AC05-1D82-48C2-9831-69A69958D37D}"/>
            </a:ext>
          </a:extLst>
        </xdr:cNvPr>
        <xdr:cNvSpPr/>
      </xdr:nvSpPr>
      <xdr:spPr>
        <a:xfrm flipH="1">
          <a:off x="8662203" y="459367"/>
          <a:ext cx="1489981" cy="31285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000" b="1"/>
            <a:t>Delete</a:t>
          </a:r>
          <a:r>
            <a:rPr lang="en-US" sz="1000" b="1" baseline="0"/>
            <a:t> Selected Item</a:t>
          </a:r>
          <a:endParaRPr lang="en-US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368969</xdr:colOff>
      <xdr:row>2</xdr:row>
      <xdr:rowOff>36095</xdr:rowOff>
    </xdr:from>
    <xdr:to>
      <xdr:col>9</xdr:col>
      <xdr:colOff>517358</xdr:colOff>
      <xdr:row>2</xdr:row>
      <xdr:rowOff>271202</xdr:rowOff>
    </xdr:to>
    <xdr:sp macro="[0]!AddPaymentToSuppli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DFA76F-5625-4750-9F42-3B1C1F8F393B}"/>
            </a:ext>
          </a:extLst>
        </xdr:cNvPr>
        <xdr:cNvSpPr/>
      </xdr:nvSpPr>
      <xdr:spPr>
        <a:xfrm flipH="1">
          <a:off x="3926306" y="417095"/>
          <a:ext cx="970547" cy="23510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000" b="1"/>
            <a:t>Pay</a:t>
          </a:r>
        </a:p>
      </xdr:txBody>
    </xdr:sp>
    <xdr:clientData/>
  </xdr:twoCellAnchor>
  <xdr:twoCellAnchor>
    <xdr:from>
      <xdr:col>8</xdr:col>
      <xdr:colOff>376990</xdr:colOff>
      <xdr:row>9</xdr:row>
      <xdr:rowOff>44115</xdr:rowOff>
    </xdr:from>
    <xdr:to>
      <xdr:col>9</xdr:col>
      <xdr:colOff>525379</xdr:colOff>
      <xdr:row>9</xdr:row>
      <xdr:rowOff>279222</xdr:rowOff>
    </xdr:to>
    <xdr:sp macro="[0]!AddPaymentFromCustom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8A6E216-24A2-48FD-A8F2-7FFEDEF06725}"/>
            </a:ext>
          </a:extLst>
        </xdr:cNvPr>
        <xdr:cNvSpPr/>
      </xdr:nvSpPr>
      <xdr:spPr>
        <a:xfrm flipH="1">
          <a:off x="3934327" y="1604210"/>
          <a:ext cx="970547" cy="23510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000" b="1"/>
            <a:t>Pay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127.991603587965" missingItemsLimit="0" createdVersion="6" refreshedVersion="7" minRefreshableVersion="3" recordCount="12" xr:uid="{2E726B56-B4AB-4EB0-A483-C55DA9966E7C}">
  <cacheSource type="worksheet">
    <worksheetSource name="Table11"/>
  </cacheSource>
  <cacheFields count="10">
    <cacheField name="Order Type" numFmtId="0">
      <sharedItems count="2">
        <s v="Purchase"/>
        <s v="Sell"/>
      </sharedItems>
    </cacheField>
    <cacheField name="Order No." numFmtId="0">
      <sharedItems containsSemiMixedTypes="0" containsString="0" containsNumber="1" containsInteger="1" minValue="1" maxValue="13" count="12">
        <n v="1"/>
        <n v="2"/>
        <n v="3"/>
        <n v="5"/>
        <n v="6"/>
        <n v="7"/>
        <n v="8"/>
        <n v="9"/>
        <n v="10"/>
        <n v="11"/>
        <n v="12"/>
        <n v="13"/>
      </sharedItems>
    </cacheField>
    <cacheField name="Customer/Distributer" numFmtId="0">
      <sharedItems count="4">
        <s v="Global Traders"/>
        <s v="Global Imports"/>
        <s v="John Smith"/>
        <s v="ABC Distributors"/>
      </sharedItems>
    </cacheField>
    <cacheField name="Total" numFmtId="0">
      <sharedItems containsString="0" containsBlank="1" containsNumber="1" minValue="8.8000000000000007" maxValue="267"/>
    </cacheField>
    <cacheField name="Discount" numFmtId="0">
      <sharedItems containsString="0" containsBlank="1" containsNumber="1" minValue="0.2" maxValue="7"/>
    </cacheField>
    <cacheField name="Total After Discount" numFmtId="0">
      <sharedItems containsString="0" containsBlank="1" containsNumber="1" minValue="7.7000000000000011" maxValue="260"/>
    </cacheField>
    <cacheField name="Amount Paid" numFmtId="0">
      <sharedItems containsString="0" containsBlank="1" containsNumber="1" minValue="0.2" maxValue="250"/>
    </cacheField>
    <cacheField name="Amount Left" numFmtId="0">
      <sharedItems containsSemiMixedTypes="0" containsString="0" containsNumber="1" minValue="-5" maxValue="30"/>
    </cacheField>
    <cacheField name="Time" numFmtId="164">
      <sharedItems containsSemiMixedTypes="0" containsNonDate="0" containsDate="1" containsString="0" minDate="2023-05-19T13:12:51" maxDate="2023-07-20T23:47:31" count="12">
        <d v="2023-05-19T13:12:51"/>
        <d v="2023-05-19T13:20:11"/>
        <d v="2023-05-19T13:59:32"/>
        <d v="2023-05-20T05:42:54"/>
        <d v="2023-05-20T05:52:20"/>
        <d v="2023-05-20T05:53:54"/>
        <d v="2023-07-18T01:39:35"/>
        <d v="2023-07-18T05:30:51"/>
        <d v="2023-07-18T05:37:18"/>
        <d v="2023-07-20T23:42:18"/>
        <d v="2023-07-20T23:47:27"/>
        <d v="2023-07-20T23:47:31"/>
      </sharedItems>
    </cacheField>
    <cacheField name="إجمالي المتبقي" numFmtId="0" formula="#NAME?-#NAME?" databaseField="0"/>
  </cacheFields>
  <extLst>
    <ext xmlns:x14="http://schemas.microsoft.com/office/spreadsheetml/2009/9/main" uri="{725AE2AE-9491-48be-B2B4-4EB974FC3084}">
      <x14:pivotCacheDefinition pivotCacheId="19755664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uthor" refreshedDate="45127.992462847222" missingItemsLimit="0" createdVersion="6" refreshedVersion="7" minRefreshableVersion="3" recordCount="19" xr:uid="{7A1F7D58-29EE-41DB-B43E-790FEC21F95D}">
  <cacheSource type="worksheet">
    <worksheetSource name="Table12"/>
  </cacheSource>
  <cacheFields count="13">
    <cacheField name="Order Number" numFmtId="0">
      <sharedItems containsSemiMixedTypes="0" containsString="0" containsNumber="1" containsInteger="1" minValue="1" maxValue="13"/>
    </cacheField>
    <cacheField name="Item No." numFmtId="0">
      <sharedItems containsSemiMixedTypes="0" containsString="0" containsNumber="1" containsInteger="1" minValue="1" maxValue="4"/>
    </cacheField>
    <cacheField name="Item" numFmtId="0">
      <sharedItems count="7">
        <s v="Green Tea"/>
        <s v="Chamomile Tea"/>
        <s v="Peppermint Tea"/>
        <s v="Rooibos Tea"/>
        <s v="Herbal Tea"/>
        <s v="Jasmine Tea"/>
        <s v="Black Tea"/>
      </sharedItems>
    </cacheField>
    <cacheField name="Amount/Boxes" numFmtId="0">
      <sharedItems containsString="0" containsBlank="1" containsNumber="1" containsInteger="1" minValue="1" maxValue="25"/>
    </cacheField>
    <cacheField name="Amount/Single" numFmtId="0">
      <sharedItems containsString="0" containsBlank="1" containsNumber="1" containsInteger="1" minValue="1" maxValue="6"/>
    </cacheField>
    <cacheField name="Box Price" numFmtId="0">
      <sharedItems containsSemiMixedTypes="0" containsString="0" containsNumber="1" minValue="4" maxValue="10"/>
    </cacheField>
    <cacheField name="Single Item Price" numFmtId="0">
      <sharedItems containsString="0" containsBlank="1" containsNumber="1" minValue="0.8" maxValue="1.1000000000000001"/>
    </cacheField>
    <cacheField name="Total" numFmtId="0">
      <sharedItems containsSemiMixedTypes="0" containsString="0" containsNumber="1" minValue="1" maxValue="100"/>
    </cacheField>
    <cacheField name="Number of Items in Box" numFmtId="0">
      <sharedItems containsSemiMixedTypes="0" containsString="0" containsNumber="1" containsInteger="1" minValue="15" maxValue="30"/>
    </cacheField>
    <cacheField name="Total number of Items" numFmtId="0">
      <sharedItems containsSemiMixedTypes="0" containsString="0" containsNumber="1" containsInteger="1" minValue="-40" maxValue="750"/>
    </cacheField>
    <cacheField name="Order Type" numFmtId="0">
      <sharedItems/>
    </cacheField>
    <cacheField name="Customer/Distributer" numFmtId="22">
      <sharedItems/>
    </cacheField>
    <cacheField name="Time" numFmtId="22">
      <sharedItems containsSemiMixedTypes="0" containsNonDate="0" containsDate="1" containsString="0" minDate="2023-05-19T13:12:51" maxDate="2023-07-20T23:47: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25"/>
    <n v="5"/>
    <n v="20"/>
    <m/>
    <n v="20"/>
    <x v="0"/>
  </r>
  <r>
    <x v="0"/>
    <x v="1"/>
    <x v="1"/>
    <n v="267"/>
    <n v="7"/>
    <n v="260"/>
    <n v="250"/>
    <n v="10"/>
    <x v="1"/>
  </r>
  <r>
    <x v="1"/>
    <x v="2"/>
    <x v="2"/>
    <n v="8.8000000000000007"/>
    <n v="0.3"/>
    <n v="8.5"/>
    <n v="0.2"/>
    <n v="8.3000000000000007"/>
    <x v="2"/>
  </r>
  <r>
    <x v="0"/>
    <x v="3"/>
    <x v="0"/>
    <m/>
    <m/>
    <m/>
    <n v="5"/>
    <n v="-5"/>
    <x v="3"/>
  </r>
  <r>
    <x v="1"/>
    <x v="4"/>
    <x v="2"/>
    <n v="8.8000000000000007"/>
    <n v="1.1000000000000001"/>
    <n v="7.7000000000000011"/>
    <n v="7.5"/>
    <n v="0.20000000000000107"/>
    <x v="4"/>
  </r>
  <r>
    <x v="1"/>
    <x v="5"/>
    <x v="2"/>
    <m/>
    <m/>
    <m/>
    <n v="4"/>
    <n v="-4"/>
    <x v="5"/>
  </r>
  <r>
    <x v="1"/>
    <x v="6"/>
    <x v="2"/>
    <n v="12.2"/>
    <n v="0.2"/>
    <n v="12"/>
    <n v="12"/>
    <n v="0"/>
    <x v="6"/>
  </r>
  <r>
    <x v="0"/>
    <x v="7"/>
    <x v="1"/>
    <m/>
    <m/>
    <m/>
    <n v="5"/>
    <n v="-5"/>
    <x v="7"/>
  </r>
  <r>
    <x v="1"/>
    <x v="8"/>
    <x v="2"/>
    <m/>
    <m/>
    <m/>
    <n v="4.5"/>
    <n v="-4.5"/>
    <x v="8"/>
  </r>
  <r>
    <x v="0"/>
    <x v="9"/>
    <x v="3"/>
    <n v="74.5"/>
    <n v="0.5"/>
    <n v="74"/>
    <n v="70"/>
    <n v="4"/>
    <x v="9"/>
  </r>
  <r>
    <x v="1"/>
    <x v="10"/>
    <x v="2"/>
    <n v="33"/>
    <n v="3"/>
    <n v="30"/>
    <n v="30"/>
    <n v="0"/>
    <x v="10"/>
  </r>
  <r>
    <x v="0"/>
    <x v="11"/>
    <x v="3"/>
    <n v="63"/>
    <n v="1.5"/>
    <n v="61.5"/>
    <n v="31.5"/>
    <n v="30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n v="1"/>
    <n v="1"/>
    <x v="0"/>
    <n v="5"/>
    <m/>
    <n v="5"/>
    <m/>
    <n v="25"/>
    <n v="20"/>
    <n v="100"/>
    <s v="Purchase"/>
    <s v="Global Traders"/>
    <d v="2023-05-19T13:12:51"/>
  </r>
  <r>
    <n v="2"/>
    <n v="1"/>
    <x v="0"/>
    <n v="6"/>
    <m/>
    <n v="5"/>
    <m/>
    <n v="30"/>
    <n v="20"/>
    <n v="120"/>
    <s v="Purchase"/>
    <s v="Global Imports"/>
    <d v="2023-05-19T13:20:11"/>
  </r>
  <r>
    <n v="2"/>
    <n v="2"/>
    <x v="1"/>
    <n v="25"/>
    <m/>
    <n v="4"/>
    <m/>
    <n v="100"/>
    <n v="30"/>
    <n v="750"/>
    <s v="Purchase"/>
    <s v="Global Imports"/>
    <d v="2023-05-19T13:20:11"/>
  </r>
  <r>
    <n v="2"/>
    <n v="3"/>
    <x v="2"/>
    <n v="18"/>
    <m/>
    <n v="4"/>
    <m/>
    <n v="72"/>
    <n v="30"/>
    <n v="540"/>
    <s v="Purchase"/>
    <s v="Global Imports"/>
    <d v="2023-05-19T13:20:11"/>
  </r>
  <r>
    <n v="2"/>
    <n v="4"/>
    <x v="3"/>
    <n v="13"/>
    <m/>
    <n v="5"/>
    <m/>
    <n v="65"/>
    <n v="20"/>
    <n v="260"/>
    <s v="Purchase"/>
    <s v="Global Imports"/>
    <d v="2023-05-19T13:20:11"/>
  </r>
  <r>
    <n v="6"/>
    <n v="1"/>
    <x v="1"/>
    <n v="1"/>
    <n v="1"/>
    <n v="8"/>
    <n v="0.8"/>
    <n v="8.8000000000000007"/>
    <n v="30"/>
    <n v="-31"/>
    <s v="Sell"/>
    <s v="John Smith"/>
    <d v="2023-05-20T05:52:20"/>
  </r>
  <r>
    <n v="8"/>
    <n v="1"/>
    <x v="0"/>
    <n v="1"/>
    <n v="2"/>
    <n v="10"/>
    <n v="1.1000000000000001"/>
    <n v="12.2"/>
    <n v="20"/>
    <n v="-22"/>
    <s v="Sell"/>
    <s v="John Smith"/>
    <d v="2023-07-18T01:39:35"/>
  </r>
  <r>
    <n v="11"/>
    <n v="1"/>
    <x v="4"/>
    <m/>
    <n v="6"/>
    <n v="6"/>
    <n v="1"/>
    <n v="6"/>
    <n v="15"/>
    <n v="6"/>
    <s v="Purchase"/>
    <s v="ABC Distributors"/>
    <d v="2023-07-20T23:42:18"/>
  </r>
  <r>
    <n v="11"/>
    <n v="2"/>
    <x v="3"/>
    <n v="4"/>
    <m/>
    <n v="5"/>
    <m/>
    <n v="20"/>
    <n v="20"/>
    <n v="80"/>
    <s v="Purchase"/>
    <s v="ABC Distributors"/>
    <d v="2023-07-20T23:42:18"/>
  </r>
  <r>
    <n v="11"/>
    <n v="3"/>
    <x v="5"/>
    <n v="7"/>
    <m/>
    <n v="5.5"/>
    <m/>
    <n v="38.5"/>
    <n v="20"/>
    <n v="140"/>
    <s v="Purchase"/>
    <s v="ABC Distributors"/>
    <d v="2023-07-20T23:42:18"/>
  </r>
  <r>
    <n v="11"/>
    <n v="4"/>
    <x v="0"/>
    <n v="2"/>
    <m/>
    <n v="5"/>
    <m/>
    <n v="10"/>
    <n v="20"/>
    <n v="40"/>
    <s v="Purchase"/>
    <s v="ABC Distributors"/>
    <d v="2023-07-20T23:42:18"/>
  </r>
  <r>
    <n v="12"/>
    <n v="1"/>
    <x v="0"/>
    <n v="2"/>
    <m/>
    <n v="10"/>
    <n v="1.1000000000000001"/>
    <n v="20"/>
    <n v="20"/>
    <n v="-40"/>
    <s v="Sell"/>
    <s v="John Smith"/>
    <d v="2023-07-20T23:47:27"/>
  </r>
  <r>
    <n v="12"/>
    <n v="2"/>
    <x v="2"/>
    <n v="1"/>
    <m/>
    <n v="8"/>
    <n v="0.8"/>
    <n v="8"/>
    <n v="30"/>
    <n v="-30"/>
    <s v="Sell"/>
    <s v="John Smith"/>
    <d v="2023-07-20T23:47:27"/>
  </r>
  <r>
    <n v="12"/>
    <n v="3"/>
    <x v="3"/>
    <m/>
    <n v="1"/>
    <n v="10"/>
    <n v="1"/>
    <n v="1"/>
    <n v="20"/>
    <n v="-1"/>
    <s v="Sell"/>
    <s v="John Smith"/>
    <d v="2023-07-20T23:47:27"/>
  </r>
  <r>
    <n v="12"/>
    <n v="4"/>
    <x v="1"/>
    <m/>
    <n v="5"/>
    <n v="8"/>
    <n v="0.8"/>
    <n v="4"/>
    <n v="30"/>
    <n v="-5"/>
    <s v="Sell"/>
    <s v="John Smith"/>
    <d v="2023-07-20T23:47:27"/>
  </r>
  <r>
    <n v="13"/>
    <n v="1"/>
    <x v="4"/>
    <m/>
    <n v="6"/>
    <n v="6"/>
    <n v="1"/>
    <n v="6"/>
    <n v="15"/>
    <n v="6"/>
    <s v="Purchase"/>
    <s v="ABC Distributors"/>
    <d v="2023-07-20T23:47:31"/>
  </r>
  <r>
    <n v="13"/>
    <n v="2"/>
    <x v="6"/>
    <n v="3"/>
    <m/>
    <n v="4.5"/>
    <m/>
    <n v="13.5"/>
    <n v="25"/>
    <n v="75"/>
    <s v="Purchase"/>
    <s v="ABC Distributors"/>
    <d v="2023-07-20T23:47:31"/>
  </r>
  <r>
    <n v="13"/>
    <n v="3"/>
    <x v="1"/>
    <n v="4"/>
    <m/>
    <n v="4"/>
    <m/>
    <n v="16"/>
    <n v="30"/>
    <n v="120"/>
    <s v="Purchase"/>
    <s v="ABC Distributors"/>
    <d v="2023-07-20T23:47:31"/>
  </r>
  <r>
    <n v="13"/>
    <n v="4"/>
    <x v="5"/>
    <n v="5"/>
    <m/>
    <n v="5.5"/>
    <m/>
    <n v="27.5"/>
    <n v="20"/>
    <n v="100"/>
    <s v="Purchase"/>
    <s v="ABC Distributors"/>
    <d v="2023-07-20T23:47: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0AC78-360E-4206-8DE7-6337F8C885D0}" name="PivotTable2" cacheId="1" applyNumberFormats="0" applyBorderFormats="0" applyFontFormats="0" applyPatternFormats="0" applyAlignmentFormats="0" applyWidthHeightFormats="1" dataCaption="Values" updatedVersion="7" minRefreshableVersion="3" colGrandTotals="0" itemPrintTitles="1" mergeItem="1" createdVersion="6" indent="0" compact="0" compactData="0" multipleFieldFilters="0">
  <location ref="A3:F16" firstHeaderRow="0" firstDataRow="1" firstDataCol="3"/>
  <pivotFields count="10"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ubtotalTop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numFmtId="164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dragToRow="0" dragToCol="0" dragToPage="0" showAll="0" defaultSubtotal="0"/>
  </pivotFields>
  <rowFields count="3">
    <field x="8"/>
    <field x="0"/>
    <field x="1"/>
  </rowFields>
  <rowItems count="13">
    <i>
      <x/>
      <x/>
      <x/>
    </i>
    <i>
      <x v="1"/>
      <x/>
      <x v="1"/>
    </i>
    <i>
      <x v="2"/>
      <x v="1"/>
      <x v="2"/>
    </i>
    <i>
      <x v="3"/>
      <x/>
      <x v="3"/>
    </i>
    <i>
      <x v="4"/>
      <x v="1"/>
      <x v="4"/>
    </i>
    <i>
      <x v="5"/>
      <x v="1"/>
      <x v="5"/>
    </i>
    <i>
      <x v="6"/>
      <x v="1"/>
      <x v="6"/>
    </i>
    <i>
      <x v="7"/>
      <x/>
      <x v="7"/>
    </i>
    <i>
      <x v="8"/>
      <x v="1"/>
      <x v="8"/>
    </i>
    <i>
      <x v="9"/>
      <x/>
      <x v="9"/>
    </i>
    <i>
      <x v="10"/>
      <x v="1"/>
      <x v="10"/>
    </i>
    <i>
      <x v="11"/>
      <x/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 After Discount" fld="5" baseField="0" baseItem="0"/>
    <dataField name="Sum of Amount Paid" fld="6" baseField="0" baseItem="0"/>
    <dataField name="Sum of Amount Left" fld="7" baseField="0" baseItem="0"/>
  </dataFields>
  <formats count="10">
    <format dxfId="92">
      <pivotArea type="all" dataOnly="0" outline="0" fieldPosition="0"/>
    </format>
    <format dxfId="91">
      <pivotArea outline="0" collapsedLevelsAreSubtotals="1" fieldPosition="0"/>
    </format>
    <format dxfId="90">
      <pivotArea dataOnly="0" labelOnly="1" grandRow="1" outline="0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grandRow="1" outline="0" fieldPosition="0"/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type="all" dataOnly="0" outline="0" fieldPosition="0"/>
    </format>
    <format dxfId="83">
      <pivotArea outline="0" collapsedLevelsAreSubtotals="1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74E01F-01FC-45F2-A5F8-CDFABEE2DE83}" name="PivotTable2" cacheId="1" applyNumberFormats="0" applyBorderFormats="0" applyFontFormats="0" applyPatternFormats="0" applyAlignmentFormats="0" applyWidthHeightFormats="1" dataCaption="Values" grandTotalCaption="Total" updatedVersion="7" minRefreshableVersion="3" itemPrintTitles="1" mergeItem="1" createdVersion="6" indent="0" outline="1" outlineData="1" multipleFieldFilters="0" rowHeaderCaption="Customer">
  <location ref="G4:J6" firstHeaderRow="0" firstDataRow="1" firstDataCol="1" rowPageCount="1" colPageCount="1"/>
  <pivotFields count="10">
    <pivotField axis="axisPage" multipleItemSelectionAllowed="1" showAll="0">
      <items count="3">
        <item h="1" x="0"/>
        <item x="1"/>
        <item t="default"/>
      </items>
    </pivotField>
    <pivotField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dataField="1" showAll="0"/>
    <pivotField dataField="1" showAll="0"/>
    <pivotField dataField="1" showAll="0"/>
    <pivotField numFmtId="164" showAl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Total After Discount" fld="5" baseField="0" baseItem="0"/>
    <dataField name="Sum of Amount Paid" fld="6" baseField="0" baseItem="0"/>
    <dataField name="Sum of Amount Left" fld="7" baseField="0" baseItem="0"/>
  </dataFields>
  <formats count="12"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labelOnly="1" grandRow="1" outline="0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grandRow="1" outline="0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labelOnly="1" grandRow="1" outline="0" fieldPosition="0"/>
    </format>
    <format dxfId="62">
      <pivotArea outline="0" collapsedLevelsAreSubtotals="1" fieldPosition="0"/>
    </format>
    <format dxfId="61">
      <pivotArea dataOnly="0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Dark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9995B3-15DB-46AF-AC48-59DABAB55CEF}" name="PivotTable1" cacheId="1" applyNumberFormats="0" applyBorderFormats="0" applyFontFormats="0" applyPatternFormats="0" applyAlignmentFormats="0" applyWidthHeightFormats="1" dataCaption="Values" grandTotalCaption="Total" updatedVersion="7" minRefreshableVersion="3" itemPrintTitles="1" mergeItem="1" createdVersion="6" indent="0" outline="1" outlineData="1" multipleFieldFilters="0" rowHeaderCaption="Distributer">
  <location ref="A4:D8" firstHeaderRow="0" firstDataRow="1" firstDataCol="1" rowPageCount="1" colPageCount="1"/>
  <pivotFields count="10">
    <pivotField axis="axisPage" multipleItemSelectionAllowed="1" showAll="0">
      <items count="3">
        <item x="0"/>
        <item h="1" x="1"/>
        <item t="default"/>
      </items>
    </pivotField>
    <pivotField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dataField="1" showAll="0"/>
    <pivotField dataField="1" showAll="0"/>
    <pivotField dataField="1" showAll="0"/>
    <pivotField numFmtId="164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Total After Discount" fld="5" baseField="0" baseItem="0"/>
    <dataField name="Sum of Amount Paid" fld="6" baseField="0" baseItem="0"/>
    <dataField name="Sum of Amount Left" fld="7" baseField="0" baseItem="0"/>
  </dataFields>
  <formats count="11">
    <format dxfId="82">
      <pivotArea type="all" dataOnly="0" outline="0" fieldPosition="0"/>
    </format>
    <format dxfId="81">
      <pivotArea outline="0" collapsedLevelsAreSubtotals="1" fieldPosition="0"/>
    </format>
    <format dxfId="80">
      <pivotArea dataOnly="0" labelOnly="1" grandRow="1" outline="0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dataOnly="0" labelOnly="1" grandRow="1" outline="0" fieldPosition="0"/>
    </format>
    <format dxfId="73">
      <pivotArea dataOnly="0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Dark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54C1E0-039C-4B4C-9C34-D88D4CE08ABC}" name="PivotTable2" cacheId="4" applyNumberFormats="0" applyBorderFormats="0" applyFontFormats="0" applyPatternFormats="0" applyAlignmentFormats="0" applyWidthHeightFormats="1" dataCaption="Values" updatedVersion="7" minRefreshableVersion="3" rowGrandTotals="0" itemPrintTitles="1" createdVersion="6" indent="0" outline="1" outlineData="1" multipleFieldFilters="0">
  <location ref="A1:B8" firstHeaderRow="1" firstDataRow="1" firstDataCol="1"/>
  <pivotFields count="13">
    <pivotField showAll="0"/>
    <pivotField showAll="0"/>
    <pivotField axis="axisRow" showAll="0">
      <items count="8">
        <item x="1"/>
        <item x="0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Total number of Items" fld="9" baseField="0" baseItem="0"/>
  </dataFields>
  <formats count="4"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F2C3847-3D2C-45CB-9639-F6FE5C5E7E77}" name="Table13" displayName="Table13" ref="A3:I4" totalsRowShown="0" headerRowDxfId="169" dataDxfId="168">
  <tableColumns count="9">
    <tableColumn id="9" xr3:uid="{AD425652-E684-4608-82D7-E7C6878966D1}" name="Order Type" dataDxfId="167"/>
    <tableColumn id="1" xr3:uid="{8B880BCD-52AA-4E4C-81EF-C14F6CDA358E}" name="Order No." dataDxfId="166">
      <calculatedColumnFormula>MAX(Bills!B:B)+1</calculatedColumnFormula>
    </tableColumn>
    <tableColumn id="2" xr3:uid="{FCFEFEAE-D831-4978-B8C4-B7DBAD1C070F}" name="Customer" dataDxfId="165"/>
    <tableColumn id="3" xr3:uid="{4B386386-BFB9-49C9-AEA3-C3E52951421C}" name="Total" dataDxfId="164">
      <calculatedColumnFormula>SUM(Table14[Total])</calculatedColumnFormula>
    </tableColumn>
    <tableColumn id="4" xr3:uid="{0CE0F078-9B15-4E14-BDF4-3FA85D44EB43}" name="Discount" dataDxfId="163"/>
    <tableColumn id="5" xr3:uid="{CBBBA01E-624D-44A5-8782-97051869CC04}" name="Total After Discount" dataDxfId="162">
      <calculatedColumnFormula>Table13[[#This Row],[Total]]-Table13[[#This Row],[Discount]]</calculatedColumnFormula>
    </tableColumn>
    <tableColumn id="6" xr3:uid="{84F18F8F-BFC9-4CAF-9181-6CFCE15E5F60}" name="Amount Paid" dataDxfId="161"/>
    <tableColumn id="7" xr3:uid="{D4743BE4-9732-4C38-9C0D-C75A17673ECD}" name="Amount Left" dataDxfId="160">
      <calculatedColumnFormula>Table13[[#This Row],[Total After Discount]]-Table13[[#This Row],[Amount Paid]]</calculatedColumnFormula>
    </tableColumn>
    <tableColumn id="8" xr3:uid="{A99D88D3-65AD-4FAE-AD69-345A0698A10C}" name="Time" dataDxfId="159">
      <calculatedColumnFormula>NOW()</calculatedColumnFormula>
    </tableColumn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3916579-39C4-4CDB-AC21-C0D77A6EE6DB}" name="Table14" displayName="Table14" ref="A6:M7" totalsRowShown="0" headerRowDxfId="158" dataDxfId="156" headerRowBorderDxfId="157" tableBorderDxfId="155" totalsRowBorderDxfId="154">
  <tableColumns count="13">
    <tableColumn id="12" xr3:uid="{37748B0F-469F-4E59-9797-EE2A3B8A3150}" name="Order Number" dataDxfId="153">
      <calculatedColumnFormula>Table13[Order No.]</calculatedColumnFormula>
    </tableColumn>
    <tableColumn id="1" xr3:uid="{EDBE52D6-A5A3-44A6-A990-004F4D2779C3}" name="Item No." dataDxfId="152">
      <calculatedColumnFormula>ROW(Table14[[#This Row],[Item No.]])-ROW(Table14[[#Headers],[Item No.]])</calculatedColumnFormula>
    </tableColumn>
    <tableColumn id="5" xr3:uid="{06C71F0F-42D4-4C7D-9CD5-CA724E62F356}" name="Item" dataDxfId="151"/>
    <tableColumn id="6" xr3:uid="{CE269DD2-AEC0-4FC9-8EED-5146AECDC54A}" name="Amount/Boxes" dataDxfId="150"/>
    <tableColumn id="10" xr3:uid="{FBAD18EF-AAEA-4D3A-BE77-AF53FB7B853A}" name="Amount/Single" dataDxfId="149"/>
    <tableColumn id="7" xr3:uid="{B2725F68-2FB1-472C-BDDE-F33CB68F5735}" name="Box Price" dataDxfId="148">
      <calculatedColumnFormula>IFERROR(INDEX(Table1[Box Sale Price],MATCH(Table14[[#This Row],[Item]],Table1[Item],0),),0)</calculatedColumnFormula>
    </tableColumn>
    <tableColumn id="11" xr3:uid="{50269DC4-E25F-4471-9834-DD2FAF9342D4}" name="Single Item Price" dataDxfId="147">
      <calculatedColumnFormula>IFERROR(INDEX(Table1[Single Item Sale Price],MATCH(Table14[[#This Row],[Item]],Table1[Item],0),),0)</calculatedColumnFormula>
    </tableColumn>
    <tableColumn id="8" xr3:uid="{6170D49F-D034-48C9-A7E1-F40984269500}" name="Total" dataDxfId="146">
      <calculatedColumnFormula>Table14[[#This Row],[Amount/Boxes]]*Table14[[#This Row],[Box Price]]+Table14[[#This Row],[Amount/Single]]*Table14[[#This Row],[Single Item Price]]</calculatedColumnFormula>
    </tableColumn>
    <tableColumn id="4" xr3:uid="{D476157B-5201-4264-9AF2-CBEC501B6E77}" name="Number of Items in Box" dataDxfId="145">
      <calculatedColumnFormula>IF(ISBLANK(Table14[[#This Row],[Correction of no. item in box]]),IFERROR(INDEX(Table1[No. of Items in Box],MATCH(Table14[[#This Row],[Item]],Table1[Item],0),),0),Table14[[#This Row],[Correction of no. item in box]])</calculatedColumnFormula>
    </tableColumn>
    <tableColumn id="13" xr3:uid="{4F8512DF-91C8-4C0E-BBD4-B35E4C6287F3}" name="Avalaible" dataDxfId="144">
      <calculatedColumnFormula>IFERROR(    IF(     INT((INDEX('Available Amounts'!$B$2:$B$500,MATCH(Table14[[#This Row],[Item]],'Available Amounts'!$A$2:$A$500,0))-Table14[[#This Row],[Amount/Boxes]]*Table14[[#This Row],[Number of Items in Box]]-Table14[[#This Row],[Amount/Single]])/Table14[[#This Row],[Number of Items in Box]])=0,
                                 "",
                                 IF(    MOD(INDEX('Available Amounts'!$B$2:$B$500,MATCH(Table14[[#This Row],[Item]],'Available Amounts'!$A$2:$A$500,0))-Table14[[#This Row],[Amount/Boxes]]*Table14[[#This Row],[Number of Items in Box]]-Table14[[#This Row],[Amount/Single]],Table14[[#This Row],[Number of Items in Box]])=0,
                                         INT((INDEX('Available Amounts'!$B$2:$B$500,MATCH(Table14[[#This Row],[Item]],'Available Amounts'!$A$2:$A$500,0))-Table14[[#This Row],[Amount/Boxes]]*Table14[[#This Row],[Number of Items in Box]]-Table14[[#This Row],[Amount/Single]])/Table14[[#This Row],[Number of Items in Box]])&amp;" Box",
                                         INT((INDEX('Available Amounts'!$B$2:$B$500,MATCH(Table14[[#This Row],[Item]],'Available Amounts'!$A$2:$A$500,0))-Table14[[#This Row],[Amount/Boxes]]*Table14[[#This Row],[Number of Items in Box]]-Table14[[#This Row],[Amount/Single]])/Table14[[#This Row],[Number of Items in Box]])&amp;" Box + ")
                            )
                         &amp;IF(    MOD(INDEX('Available Amounts'!$B$2:$B$500,MATCH(Table14[[#This Row],[Item]],'Available Amounts'!$A$2:$A$500,0))-Table14[[#This Row],[Amount/Boxes]]*Table14[[#This Row],[Number of Items in Box]]-Table14[[#This Row],[Amount/Single]],Table14[[#This Row],[Number of Items in Box]])=0,
                                     "",
                                    MOD(INDEX('Available Amounts'!$B$2:$B$500,MATCH(Table14[[#This Row],[Item]],'Available Amounts'!$A$2:$A$500,0))-Table14[[#This Row],[Amount/Boxes]]*Table14[[#This Row],[Number of Items in Box]]-Table14[[#This Row],[Amount/Single]],Table14[[#This Row],[Number of Items in Box]])&amp;" Single"
                                ),
                    "")</calculatedColumnFormula>
    </tableColumn>
    <tableColumn id="2" xr3:uid="{AC3FABF9-CC2F-4574-A1AC-77496FFAE57F}" name="Correction of no. item in box" dataDxfId="143"/>
    <tableColumn id="3" xr3:uid="{9727CB10-C048-46CA-B8B0-364B41FCA25A}" name="المتوفر" dataDxfId="142">
      <calculatedColumnFormula>INDEX('Available Amounts'!$B$2:$B$500,MATCH(Table14[[#This Row],[Item]],'Available Amounts'!$A$2:$A$500,0))</calculatedColumnFormula>
    </tableColumn>
    <tableColumn id="9" xr3:uid="{0952D26A-B579-4521-B8E1-776C771FA4D5}" name="المتوفر باكيت" dataDxfId="141">
      <calculatedColumnFormula>Table14[[#This Row],[المتوفر]]-Table14[[#This Row],[Amount/Boxes]]*Table14[[#This Row],[Number of Items in Box]]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40F6BFD-02C9-4A51-8E40-ECB60C0531EA}" name="Table6" displayName="Table6" ref="A6:K7" totalsRowShown="0" headerRowDxfId="140" dataDxfId="139">
  <tableColumns count="11">
    <tableColumn id="22" xr3:uid="{D13CF77A-ACB6-41D9-B1AD-05FA916BC11C}" name="Order No." dataDxfId="138">
      <calculatedColumnFormula>Table8[Order No.]</calculatedColumnFormula>
    </tableColumn>
    <tableColumn id="1" xr3:uid="{F9D11DE2-64DD-4955-8887-2E63ABA48E8C}" name="Item No." dataDxfId="137">
      <calculatedColumnFormula>ROW(Table6[[#This Row],[Item No.]])-ROW(Table6[[#Headers],[Item No.]])</calculatedColumnFormula>
    </tableColumn>
    <tableColumn id="4" xr3:uid="{ED75BF57-4462-405A-9F96-7A5F33CB249B}" name="Item" dataDxfId="136"/>
    <tableColumn id="5" xr3:uid="{23EF294E-5169-4CB3-A33D-7068D4C18A57}" name="Amount/Boxes" dataDxfId="135"/>
    <tableColumn id="18" xr3:uid="{515EF4CC-880A-4E8C-921A-71EEE772CBF1}" name="Amount/Single" dataDxfId="134"/>
    <tableColumn id="6" xr3:uid="{16C81BEE-E50E-4747-B3CA-5ED1898A4B3B}" name="Box Price" dataDxfId="133">
      <calculatedColumnFormula>IFERROR(INDEX(Table1[Box Purchase Price],MATCH(Table6[[#This Row],[Item]],Table1[Item],0),),0)</calculatedColumnFormula>
    </tableColumn>
    <tableColumn id="20" xr3:uid="{C5004861-75C3-421A-A9A4-28EE29EB9C01}" name="Single Item Price" dataDxfId="132"/>
    <tableColumn id="7" xr3:uid="{8D7DC860-47FC-4A5A-926A-4012DC017115}" name="Total" dataDxfId="131">
      <calculatedColumnFormula>Table6[[#This Row],[Amount/Boxes]]*Table6[[#This Row],[Box Price]]+Table6[[#This Row],[Amount/Single]]*Table6[[#This Row],[Single Item Price]]</calculatedColumnFormula>
    </tableColumn>
    <tableColumn id="2" xr3:uid="{CD88A05C-8A87-4E64-9EAF-ABAD91365F2D}" name="Number of Items in Box" dataDxfId="130">
      <calculatedColumnFormula>IF(ISBLANK(Table6[[#This Row],[Correction of no. item in box]]),IFERROR(INDEX(Table1[No. of Items in Box],MATCH(Table6[[#This Row],[Item]],Table1[Item],0),),0),Table6[[#This Row],[Correction of no. item in box]])</calculatedColumnFormula>
    </tableColumn>
    <tableColumn id="9" xr3:uid="{3BE65E3E-3CA5-4F0B-A9A5-2CA17B569ED8}" name="Avalaible" dataDxfId="129">
      <calculatedColumnFormula>IFERROR(IF(INT(INDEX('Available Amounts'!$B$2:$B$500,MATCH(Table6[[#This Row],[Item]],'Available Amounts'!$A$2:$A$500,0))/Table6[[#This Row],[Number of Items in Box]])=0,"",IF(MOD(INDEX('Available Amounts'!$B$2:$B$500,MATCH(Table6[[#This Row],[Item]],'Available Amounts'!$A$2:$A$500,0)),Table6[[#This Row],[Number of Items in Box]])=0,INT(INDEX('Available Amounts'!$B$2:$B$500,MATCH(Table6[[#This Row],[Item]],'Available Amounts'!$A$2:$A$500,0))/Table6[[#This Row],[Number of Items in Box]])&amp;" Box",INT(INDEX('Available Amounts'!$B$2:$B$500,MATCH(Table6[[#This Row],[Item]],'Available Amounts'!$A$2:$A$500,0))/Table6[[#This Row],[Number of Items in Box]])&amp;" Box + "))&amp;IF(MOD(INDEX('Available Amounts'!$B$2:$B$500,MATCH(Table6[[#This Row],[Item]],'Available Amounts'!$A$2:$A$500,0)),Table6[[#This Row],[Number of Items in Box]])=0,"",MOD(INDEX('Available Amounts'!$B$2:$B$500,MATCH(Table6[[#This Row],[Item]],'Available Amounts'!$A$2:$A$500,0)),Table6[[#This Row],[Number of Items in Box]])&amp;" Single"),"")</calculatedColumnFormula>
    </tableColumn>
    <tableColumn id="8" xr3:uid="{309C8040-6DBD-4133-8011-AC2816B69AAF}" name="Correction of no. item in box" dataDxfId="128"/>
  </tableColumns>
  <tableStyleInfo name="TableStyleMedium2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329BC5-02F6-4937-A4B7-75C8E4149385}" name="Table8" displayName="Table8" ref="A3:I4" totalsRowShown="0" headerRowDxfId="127" dataDxfId="126">
  <tableColumns count="9">
    <tableColumn id="9" xr3:uid="{E440216E-FC97-4C83-A933-608ED0D04FEC}" name="Order Type" dataDxfId="125"/>
    <tableColumn id="1" xr3:uid="{62DD7322-F7EC-44BE-B3D0-BD25472FCE5F}" name="Order No." dataDxfId="124">
      <calculatedColumnFormula>MAX(Bills!B:B)+1</calculatedColumnFormula>
    </tableColumn>
    <tableColumn id="2" xr3:uid="{168C1E22-6151-40AA-89C6-3F1B337ACBCE}" name="Distributer" dataDxfId="123"/>
    <tableColumn id="3" xr3:uid="{D3E2EA7C-4780-495F-BF0F-8C4F6C77FD4A}" name="Total" dataDxfId="122">
      <calculatedColumnFormula>SUM(Table6[Total])</calculatedColumnFormula>
    </tableColumn>
    <tableColumn id="4" xr3:uid="{E65CEEE9-608A-43D9-B748-89A87B293D60}" name="Discount" dataDxfId="121"/>
    <tableColumn id="5" xr3:uid="{164055B0-4798-4F75-A9D7-7183AF28E925}" name="Total After Discount" dataDxfId="120">
      <calculatedColumnFormula>Table8[[#This Row],[Total]]-Table8[[#This Row],[Discount]]</calculatedColumnFormula>
    </tableColumn>
    <tableColumn id="6" xr3:uid="{0D2B62DF-FCDE-4338-BDD6-29BC8D46C2BE}" name="Amount Paid" dataDxfId="119"/>
    <tableColumn id="7" xr3:uid="{47F47544-A736-463A-82B1-EC21B6D9BF7A}" name="Amount Left" dataDxfId="118">
      <calculatedColumnFormula>Table8[[#This Row],[Total After Discount]]-Table8[[#This Row],[Amount Paid]]</calculatedColumnFormula>
    </tableColumn>
    <tableColumn id="8" xr3:uid="{6E6650BD-E895-47D1-8A18-3E22351CF9D5}" name="Time" dataDxfId="117">
      <calculatedColumnFormula>NOW()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60E767-0DA8-4606-B4C6-182F7DA7D08F}" name="Table83" displayName="Table83" ref="A5:J6" totalsRowShown="0" headerRowDxfId="116" dataDxfId="115">
  <tableColumns count="10">
    <tableColumn id="9" xr3:uid="{1FEE82C4-493D-4157-A194-900A0516FF22}" name="Order Type" dataDxfId="114"/>
    <tableColumn id="1" xr3:uid="{91FD9785-8D40-4F3D-9755-ED918B7BA609}" name="Order No." dataDxfId="113">
      <calculatedColumnFormula>MAX(Bills!B:B)+1</calculatedColumnFormula>
    </tableColumn>
    <tableColumn id="2" xr3:uid="{EE3B00CE-5748-48C5-984C-94DA5EE12E51}" name="Distributer" dataDxfId="112"/>
    <tableColumn id="3" xr3:uid="{CD842B87-A368-4FDE-BCEA-99D896825308}" name="Column1" dataDxfId="111"/>
    <tableColumn id="4" xr3:uid="{12F096C2-9553-49F2-A90B-8E5760FE21A2}" name="Column2" dataDxfId="110"/>
    <tableColumn id="5" xr3:uid="{A8C01E35-BC22-4A15-B2E2-2B7B2DD31342}" name="Column3" dataDxfId="109"/>
    <tableColumn id="6" xr3:uid="{30AA69C0-366B-4BA2-99EC-C9C2DE8B925E}" name="Total" dataDxfId="108"/>
    <tableColumn id="7" xr3:uid="{6B9B6155-DDEF-4D21-91B7-18855240DBA9}" name="left" dataDxfId="107">
      <calculatedColumnFormula>-Table83[[#This Row],[Total]]</calculatedColumnFormula>
    </tableColumn>
    <tableColumn id="8" xr3:uid="{39F40709-1685-418F-BB8E-515F36D6494B}" name="Time" dataDxfId="106">
      <calculatedColumnFormula>NOW()</calculatedColumnFormula>
    </tableColumn>
    <tableColumn id="10" xr3:uid="{AD08A9B0-CE59-4047-A4EB-5E1A221ECC53}" name="Amount Left" dataDxfId="105">
      <calculatedColumnFormula>IFERROR(GETPIVOTDATA("Sum of Amount Left",'Customer and Destributer Totals'!$A$4,"Customer/Distributer",Table83[[#This Row],[Distributer]])-Table83[[#This Row],[Total]],"")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F9A796F-FE62-4CD2-B6EE-7E492E686FDE}" name="Table138" displayName="Table138" ref="A12:J13" totalsRowShown="0" headerRowDxfId="104" dataDxfId="103">
  <tableColumns count="10">
    <tableColumn id="9" xr3:uid="{B0BCF203-C473-4854-90C3-E358D13DCA2B}" name="Order Type" dataDxfId="102"/>
    <tableColumn id="1" xr3:uid="{A6EB3190-F713-435C-90D5-A4E36CBBF08A}" name="Order No." dataDxfId="101">
      <calculatedColumnFormula>MAX(Bills!B:B)+1</calculatedColumnFormula>
    </tableColumn>
    <tableColumn id="2" xr3:uid="{E6B09563-34D3-44B3-A62E-96D94BE5936F}" name="Customer" dataDxfId="100"/>
    <tableColumn id="3" xr3:uid="{44EDC1A6-223F-4A73-82AC-7C390160238B}" name="Column1" dataDxfId="99"/>
    <tableColumn id="4" xr3:uid="{E62A1097-8085-44BE-90A1-E027536AFE23}" name="Column2" dataDxfId="98"/>
    <tableColumn id="5" xr3:uid="{87E5B65B-94F5-479C-A438-8848B51B8E2D}" name="Column3" dataDxfId="97"/>
    <tableColumn id="6" xr3:uid="{480C1180-5D2D-4BEB-8261-AF3BAA1A0935}" name="Total" dataDxfId="96"/>
    <tableColumn id="7" xr3:uid="{A993BE65-2718-4C1E-95DB-20EA8F09FD45}" name="left" dataDxfId="95">
      <calculatedColumnFormula>-Table138[[#This Row],[Total]]</calculatedColumnFormula>
    </tableColumn>
    <tableColumn id="8" xr3:uid="{3A82F2C4-DFF1-4085-8282-D88B93376D5E}" name="Time" dataDxfId="94">
      <calculatedColumnFormula>NOW()</calculatedColumnFormula>
    </tableColumn>
    <tableColumn id="10" xr3:uid="{90A92B91-631D-4A73-921F-ECDE533A6BFF}" name="Amount Left" dataDxfId="93">
      <calculatedColumnFormula>IFERROR(GETPIVOTDATA("Sum of Amount Left",'Customer and Destributer Totals'!$G$4,"Customer/Distributer",Table138[[#This Row],[Customer]])-Table138[[#This Row],[Total]],"")</calculatedColumnFormula>
    </tableColumn>
  </tableColumns>
  <tableStyleInfo name="TableStyleMedium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2A16E4-C940-4D09-9DE0-B28051D82A82}" name="Table1" displayName="Table1" ref="A3:H13" totalsRowShown="0" headerRowDxfId="59" dataDxfId="57" headerRowBorderDxfId="58" tableBorderDxfId="56" totalsRowBorderDxfId="55">
  <autoFilter ref="A3:H13" xr:uid="{4F04547B-1C0A-4585-8432-AD6C12061C69}"/>
  <tableColumns count="8">
    <tableColumn id="1" xr3:uid="{622156FC-6F4C-40DB-BB5B-AC0954C1A265}" name="ID" dataDxfId="54"/>
    <tableColumn id="2" xr3:uid="{F1589A67-A684-453A-8CE3-2D9D659C66C2}" name="Item" dataDxfId="53"/>
    <tableColumn id="3" xr3:uid="{BE3DF326-F86E-4796-B29F-8E43489D567C}" name="Box Purchase Price" dataDxfId="52"/>
    <tableColumn id="11" xr3:uid="{74FBFA0E-3301-470E-B007-062E0A2CA197}" name="Box Sale Price" dataDxfId="51"/>
    <tableColumn id="5" xr3:uid="{FA575581-6CA2-4891-A2C6-1D164DB58AEE}" name="Single Item Sale Price" dataDxfId="50"/>
    <tableColumn id="8" xr3:uid="{BE28781E-B6D7-4D09-A23D-5C4DC9B80EA6}" name="No. of Items in Box" dataDxfId="49"/>
    <tableColumn id="4" xr3:uid="{D941D09E-B935-4D86-A817-0F3CBEB2EA9F}" name="Notes" dataDxfId="48"/>
    <tableColumn id="6" xr3:uid="{7D03E201-F25E-4117-9F8B-550A8F71D8B1}" name="Amount Available" dataDxfId="47">
      <calculatedColumnFormula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1BC872-DE1B-46E4-A8D1-D32F3489FA10}" name="Table4" displayName="Table4" ref="A3:F13" totalsRowShown="0" headerRowDxfId="46" dataDxfId="45">
  <autoFilter ref="A3:F13" xr:uid="{78222A18-4701-4832-B4FB-7B3EB8459FD4}"/>
  <tableColumns count="6">
    <tableColumn id="1" xr3:uid="{5D9E7F33-1BB2-4F96-B19E-25448B4DEC94}" name="ID" dataDxfId="44">
      <calculatedColumnFormula>ROW(Table4[[#This Row],[ID]])-ROW(Table4[[#Headers],[ID]])</calculatedColumnFormula>
    </tableColumn>
    <tableColumn id="2" xr3:uid="{C3FA336C-587F-40A0-AC41-A0CBE6077F90}" name="Distributer" dataDxfId="43"/>
    <tableColumn id="3" xr3:uid="{664D3893-C2B0-4D0D-ABEE-939F78219CC8}" name="Mobile Phone Number" dataDxfId="42"/>
    <tableColumn id="4" xr3:uid="{35CC2F5E-FDC3-4825-A1D1-81EBCA88DEF3}" name="LandLine Number" dataDxfId="41"/>
    <tableColumn id="5" xr3:uid="{7B479DC4-3F3E-449F-A819-9F2D6DD27E58}" name="Address" dataDxfId="40"/>
    <tableColumn id="6" xr3:uid="{4DA10F68-FB40-4044-A043-C030FDCC38A0}" name="Additional Info" dataDxfId="39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A02752-5DC6-4917-ABAE-2B9097CA6A94}" name="Table46" displayName="Table46" ref="A3:F14" totalsRowShown="0" headerRowDxfId="38" dataDxfId="37">
  <autoFilter ref="A3:F14" xr:uid="{A0496258-B039-402D-9EC7-BECE2DDEC903}"/>
  <tableColumns count="6">
    <tableColumn id="1" xr3:uid="{CB8DE71D-975E-4857-A0AE-292D3D6FB0C3}" name="ID" dataDxfId="36">
      <calculatedColumnFormula>ROW(Table46[[#This Row],[ID]])-ROW(Table46[[#Headers],[ID]])</calculatedColumnFormula>
    </tableColumn>
    <tableColumn id="2" xr3:uid="{00032403-E350-4E35-9546-CDEC2CC0D744}" name="Customer" dataDxfId="35"/>
    <tableColumn id="3" xr3:uid="{E98D3A3B-598F-404D-B117-AEB659EC09DE}" name="Mobile Phone Number" dataDxfId="34"/>
    <tableColumn id="4" xr3:uid="{C72A079F-943A-4C39-BE6A-5CD38C8FBEBA}" name="LandLine Number" dataDxfId="33"/>
    <tableColumn id="5" xr3:uid="{8888B4AA-643B-43D4-8FB5-D3F9A3C4BEB5}" name="Address" dataDxfId="32"/>
    <tableColumn id="6" xr3:uid="{B0599668-D916-4556-85D7-8B7CE9397F7C}" name="Additional Info" dataDxfId="3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862E767-6E66-46FA-B9A1-D541BB285688}" name="Table11" displayName="Table11" ref="A3:I15" totalsRowShown="0" headerRowDxfId="30" dataDxfId="29">
  <autoFilter ref="A3:I15" xr:uid="{2B784B09-6543-437A-917F-C7A1B01ADF17}"/>
  <tableColumns count="9">
    <tableColumn id="9" xr3:uid="{1B824DAD-199C-428D-84DC-6AF7AA493578}" name="Order Type" dataDxfId="28"/>
    <tableColumn id="1" xr3:uid="{CB1A8CB7-4CB3-4332-B168-9980255D9BF9}" name="Order No." dataDxfId="27"/>
    <tableColumn id="2" xr3:uid="{630891A7-613E-4951-B834-00B057B01062}" name="Customer/Distributer" dataDxfId="26"/>
    <tableColumn id="3" xr3:uid="{00A9A901-B064-46BC-9947-E5A186F54546}" name="Total" dataDxfId="25"/>
    <tableColumn id="4" xr3:uid="{D2664177-86DA-4BEA-969D-F48157D94779}" name="Discount" dataDxfId="24"/>
    <tableColumn id="5" xr3:uid="{77DCB914-2DDE-4160-B620-8D62A2A6607A}" name="Total After Discount" dataDxfId="23"/>
    <tableColumn id="6" xr3:uid="{1521AD32-9BFD-4241-A4F5-53D05C847FDA}" name="Amount Paid" dataDxfId="22"/>
    <tableColumn id="7" xr3:uid="{6093D523-EBE6-4878-9B86-ED5E06D5B10F}" name="Amount Left" dataDxfId="21"/>
    <tableColumn id="8" xr3:uid="{601FC576-47AC-4870-B923-9FD16F77E9BF}" name="Time" dataDxfId="20"/>
  </tableColumns>
  <tableStyleInfo name="TableStyleMedium2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2E7614A-B268-4228-A744-18F0D5DE566B}" name="Table12" displayName="Table12" ref="A3:M22" totalsRowShown="0" headerRowDxfId="19" dataDxfId="18">
  <tableColumns count="13">
    <tableColumn id="1" xr3:uid="{C917E5B9-930D-4846-83BA-AC63ED88EFB0}" name="Order Number" dataDxfId="17"/>
    <tableColumn id="2" xr3:uid="{FDD3ACB8-70AF-4E55-8BCA-2078CC01B678}" name="Item No." dataDxfId="16"/>
    <tableColumn id="3" xr3:uid="{5A942F2F-D5B2-4B69-823D-313320094546}" name="Item" dataDxfId="15"/>
    <tableColumn id="4" xr3:uid="{CD3D05D8-21DA-4CFE-AE30-BE81F9D9672C}" name="Amount/Boxes" dataDxfId="14"/>
    <tableColumn id="5" xr3:uid="{36A96442-A5C1-4F59-95D5-75DE92628ECD}" name="Amount/Single" dataDxfId="13"/>
    <tableColumn id="6" xr3:uid="{3364CBFE-E47D-4844-83A8-E3CF891C6E9E}" name="Box Price" dataDxfId="12"/>
    <tableColumn id="7" xr3:uid="{D4E21276-FA5A-4C3A-8345-7249D8AF7206}" name="Single Item Price" dataDxfId="11"/>
    <tableColumn id="8" xr3:uid="{C3D93073-0DAF-4703-AC6E-A55535C80DA9}" name="Total" dataDxfId="10"/>
    <tableColumn id="13" xr3:uid="{A0E99B73-E65D-4136-9AA1-0D329D6398FF}" name="Number of Items in Box" dataDxfId="9"/>
    <tableColumn id="12" xr3:uid="{2606185A-95CC-4D40-8885-90A51CE99D0A}" name="Total number of Items" dataDxfId="8">
      <calculatedColumnFormula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calculatedColumnFormula>
    </tableColumn>
    <tableColumn id="11" xr3:uid="{7D00326F-A729-4154-BD9A-7DF26AD41F12}" name="Order Type" dataDxfId="7">
      <calculatedColumnFormula>INDEX(Table11[Order Type],MATCH(Table12[[#This Row],[Order Number]],Table11[Order No.],0))</calculatedColumnFormula>
    </tableColumn>
    <tableColumn id="9" xr3:uid="{83F6E82F-C825-4DB4-BF3C-2FFCDD4C4C80}" name="Customer/Distributer" dataDxfId="6">
      <calculatedColumnFormula>INDEX(Table11[Customer/Distributer],MATCH(Table12[[#This Row],[Order Number]],Table11[Order No.],0))</calculatedColumnFormula>
    </tableColumn>
    <tableColumn id="10" xr3:uid="{CB2C0592-7377-4A5F-965D-5A407FD65E95}" name="Time" dataDxfId="5">
      <calculatedColumnFormula>INDEX(Table11[Time],MATCH(Table12[[#This Row],[Order Number]],Table11[Order No.],0))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7"/>
  <sheetViews>
    <sheetView tabSelected="1" zoomScale="145" zoomScaleNormal="145" workbookViewId="0">
      <pane ySplit="6" topLeftCell="A7" activePane="bottomLeft" state="frozen"/>
      <selection pane="bottomLeft" activeCell="F7" sqref="F7"/>
    </sheetView>
  </sheetViews>
  <sheetFormatPr defaultColWidth="0" defaultRowHeight="13.8" x14ac:dyDescent="0.3"/>
  <cols>
    <col min="1" max="1" width="9.88671875" style="8" customWidth="1"/>
    <col min="2" max="2" width="7.6640625" style="8" customWidth="1"/>
    <col min="3" max="3" width="21.5546875" style="8" customWidth="1"/>
    <col min="4" max="5" width="10.88671875" style="8" customWidth="1"/>
    <col min="6" max="6" width="13.44140625" style="8" customWidth="1"/>
    <col min="7" max="7" width="10.88671875" style="8" customWidth="1"/>
    <col min="8" max="8" width="10.44140625" style="8" customWidth="1"/>
    <col min="9" max="9" width="14.21875" style="8" customWidth="1"/>
    <col min="10" max="10" width="12.109375" style="8" customWidth="1"/>
    <col min="11" max="11" width="17.6640625" style="8" customWidth="1"/>
    <col min="12" max="16383" width="11.21875" style="8" hidden="1"/>
    <col min="16384" max="16384" width="1.33203125" style="8" hidden="1" customWidth="1"/>
  </cols>
  <sheetData>
    <row r="1" spans="1:13" s="9" customFormat="1" ht="27.6" customHeight="1" x14ac:dyDescent="0.3">
      <c r="A1" s="73" t="s">
        <v>6</v>
      </c>
      <c r="B1" s="73"/>
      <c r="C1" s="73"/>
      <c r="D1" s="73"/>
      <c r="E1" s="73"/>
      <c r="F1" s="7"/>
      <c r="G1" s="7"/>
      <c r="H1" s="7"/>
      <c r="I1" s="7"/>
      <c r="J1" s="8"/>
      <c r="K1" s="8"/>
    </row>
    <row r="2" spans="1:13" s="9" customFormat="1" ht="3.6" customHeigh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</row>
    <row r="3" spans="1:13" s="9" customFormat="1" ht="18" customHeight="1" thickBot="1" x14ac:dyDescent="0.35">
      <c r="A3" s="20" t="s">
        <v>7</v>
      </c>
      <c r="B3" s="20" t="s">
        <v>22</v>
      </c>
      <c r="C3" s="20" t="s">
        <v>126</v>
      </c>
      <c r="D3" s="20" t="s">
        <v>9</v>
      </c>
      <c r="E3" s="20" t="s">
        <v>10</v>
      </c>
      <c r="F3" s="20" t="s">
        <v>11</v>
      </c>
      <c r="G3" s="20" t="s">
        <v>12</v>
      </c>
      <c r="H3" s="20" t="s">
        <v>13</v>
      </c>
      <c r="I3" s="20" t="s">
        <v>14</v>
      </c>
      <c r="J3" s="8"/>
      <c r="K3" s="8"/>
    </row>
    <row r="4" spans="1:13" s="9" customFormat="1" ht="16.2" customHeight="1" thickTop="1" thickBot="1" x14ac:dyDescent="0.35">
      <c r="A4" s="10" t="s">
        <v>5</v>
      </c>
      <c r="B4" s="10">
        <f>MAX(Bills!B:B)+1</f>
        <v>14</v>
      </c>
      <c r="C4" s="11"/>
      <c r="D4" s="61">
        <f>SUM(Table14[Total])</f>
        <v>0</v>
      </c>
      <c r="E4" s="69"/>
      <c r="F4" s="61">
        <f>Table13[[#This Row],[Total]]-Table13[[#This Row],[Discount]]</f>
        <v>0</v>
      </c>
      <c r="G4" s="69"/>
      <c r="H4" s="61">
        <f>Table13[[#This Row],[Total After Discount]]-Table13[[#This Row],[Amount Paid]]</f>
        <v>0</v>
      </c>
      <c r="I4" s="12">
        <f ca="1">NOW()</f>
        <v>45127.99253865741</v>
      </c>
      <c r="J4" s="8"/>
      <c r="K4" s="8"/>
    </row>
    <row r="5" spans="1:13" s="9" customFormat="1" ht="5.4" customHeight="1" thickTop="1" x14ac:dyDescent="0.3">
      <c r="A5" s="8"/>
      <c r="B5" s="8"/>
      <c r="C5" s="8"/>
      <c r="D5" s="8"/>
      <c r="E5" s="8"/>
      <c r="F5" s="8"/>
      <c r="G5" s="8"/>
      <c r="H5" s="8"/>
      <c r="I5" s="8"/>
      <c r="J5" s="8"/>
      <c r="K5" s="8"/>
    </row>
    <row r="6" spans="1:13" s="9" customFormat="1" ht="17.399999999999999" customHeight="1" x14ac:dyDescent="0.3">
      <c r="A6" s="20" t="s">
        <v>8</v>
      </c>
      <c r="B6" s="21" t="s">
        <v>23</v>
      </c>
      <c r="C6" s="21" t="s">
        <v>15</v>
      </c>
      <c r="D6" s="21" t="s">
        <v>26</v>
      </c>
      <c r="E6" s="21" t="s">
        <v>16</v>
      </c>
      <c r="F6" s="21" t="s">
        <v>17</v>
      </c>
      <c r="G6" s="21" t="s">
        <v>18</v>
      </c>
      <c r="H6" s="21" t="s">
        <v>9</v>
      </c>
      <c r="I6" s="21" t="s">
        <v>19</v>
      </c>
      <c r="J6" s="21" t="s">
        <v>20</v>
      </c>
      <c r="K6" s="21" t="s">
        <v>21</v>
      </c>
      <c r="L6" s="13" t="s">
        <v>0</v>
      </c>
      <c r="M6" s="14" t="s">
        <v>1</v>
      </c>
    </row>
    <row r="7" spans="1:13" s="9" customFormat="1" ht="17.399999999999999" customHeight="1" x14ac:dyDescent="0.3">
      <c r="A7" s="15">
        <f>Table13[Order No.]</f>
        <v>14</v>
      </c>
      <c r="B7" s="16">
        <f>ROW(Table14[[#This Row],[Item No.]])-ROW(Table14[[#Headers],[Item No.]])</f>
        <v>1</v>
      </c>
      <c r="C7" s="17"/>
      <c r="D7" s="17"/>
      <c r="E7" s="17"/>
      <c r="F7" s="68">
        <f>IFERROR(INDEX(Table1[Box Sale Price],MATCH(Table14[[#This Row],[Item]],Table1[Item],0),),0)</f>
        <v>0</v>
      </c>
      <c r="G7" s="68">
        <f>IFERROR(INDEX(Table1[Single Item Sale Price],MATCH(Table14[[#This Row],[Item]],Table1[Item],0),),0)</f>
        <v>0</v>
      </c>
      <c r="H7" s="68">
        <f>Table14[[#This Row],[Amount/Boxes]]*Table14[[#This Row],[Box Price]]+Table14[[#This Row],[Amount/Single]]*Table14[[#This Row],[Single Item Price]]</f>
        <v>0</v>
      </c>
      <c r="I7" s="16">
        <f>IF(ISBLANK(Table14[[#This Row],[Correction of no. item in box]]),IFERROR(INDEX(Table1[No. of Items in Box],MATCH(Table14[[#This Row],[Item]],Table1[Item],0),),0),Table14[[#This Row],[Correction of no. item in box]])</f>
        <v>0</v>
      </c>
      <c r="J7" s="16" t="str">
        <f>IFERROR(    IF(     INT((INDEX('Available Amounts'!$B$2:$B$500,MATCH(Table14[[#This Row],[Item]],'Available Amounts'!$A$2:$A$500,0))-Table14[[#This Row],[Amount/Boxes]]*Table14[[#This Row],[Number of Items in Box]]-Table14[[#This Row],[Amount/Single]])/Table14[[#This Row],[Number of Items in Box]])=0,
                                 "",
                                 IF(    MOD(INDEX('Available Amounts'!$B$2:$B$500,MATCH(Table14[[#This Row],[Item]],'Available Amounts'!$A$2:$A$500,0))-Table14[[#This Row],[Amount/Boxes]]*Table14[[#This Row],[Number of Items in Box]]-Table14[[#This Row],[Amount/Single]],Table14[[#This Row],[Number of Items in Box]])=0,
                                         INT((INDEX('Available Amounts'!$B$2:$B$500,MATCH(Table14[[#This Row],[Item]],'Available Amounts'!$A$2:$A$500,0))-Table14[[#This Row],[Amount/Boxes]]*Table14[[#This Row],[Number of Items in Box]]-Table14[[#This Row],[Amount/Single]])/Table14[[#This Row],[Number of Items in Box]])&amp;" Box",
                                         INT((INDEX('Available Amounts'!$B$2:$B$500,MATCH(Table14[[#This Row],[Item]],'Available Amounts'!$A$2:$A$500,0))-Table14[[#This Row],[Amount/Boxes]]*Table14[[#This Row],[Number of Items in Box]]-Table14[[#This Row],[Amount/Single]])/Table14[[#This Row],[Number of Items in Box]])&amp;" Box + ")
                            )
                         &amp;IF(    MOD(INDEX('Available Amounts'!$B$2:$B$500,MATCH(Table14[[#This Row],[Item]],'Available Amounts'!$A$2:$A$500,0))-Table14[[#This Row],[Amount/Boxes]]*Table14[[#This Row],[Number of Items in Box]]-Table14[[#This Row],[Amount/Single]],Table14[[#This Row],[Number of Items in Box]])=0,
                                     "",
                                    MOD(INDEX('Available Amounts'!$B$2:$B$500,MATCH(Table14[[#This Row],[Item]],'Available Amounts'!$A$2:$A$500,0))-Table14[[#This Row],[Amount/Boxes]]*Table14[[#This Row],[Number of Items in Box]]-Table14[[#This Row],[Amount/Single]],Table14[[#This Row],[Number of Items in Box]])&amp;" Single"
                                ),
                    "")</f>
        <v/>
      </c>
      <c r="K7" s="18"/>
      <c r="L7" s="18" t="e">
        <f>INDEX('Available Amounts'!$B$2:$B$500,MATCH(Table14[[#This Row],[Item]],'Available Amounts'!$A$2:$A$500,0))</f>
        <v>#N/A</v>
      </c>
      <c r="M7" s="19" t="e">
        <f>Table14[[#This Row],[المتوفر]]-Table14[[#This Row],[Amount/Boxes]]*Table14[[#This Row],[Number of Items in Box]]</f>
        <v>#N/A</v>
      </c>
    </row>
  </sheetData>
  <sheetProtection algorithmName="SHA-512" hashValue="r8luoPT1cmgzhLhTXj6NMLuefZgFgPgibYoau8tC3Yl+vaERTnZS+BVqJ5gA7riNCdncd8ebCxxZFrPknjgP8w==" saltValue="Uxx+1LXKxmsAOkiFtJoxiw==" spinCount="100000" sheet="1" objects="1" scenarios="1" sort="0" autoFilter="0" pivotTables="0"/>
  <mergeCells count="1">
    <mergeCell ref="A1:E1"/>
  </mergeCells>
  <dataValidations count="4">
    <dataValidation type="list" allowBlank="1" showInputMessage="1" showErrorMessage="1" sqref="C4" xr:uid="{3ADC07E8-CBA2-4F73-A3C2-3298C92C8D0A}">
      <formula1>customers</formula1>
    </dataValidation>
    <dataValidation type="list" allowBlank="1" showInputMessage="1" showErrorMessage="1" sqref="C7" xr:uid="{A58C20E7-4076-49A0-8362-F8B4FCE79C58}">
      <formula1>Items</formula1>
    </dataValidation>
    <dataValidation type="whole" operator="lessThanOrEqual" allowBlank="1" showInputMessage="1" showErrorMessage="1" errorTitle="إدخال خاطئ" error="عدد البواكي الذي قمت بإدخاله غير متوفر في المستودع" sqref="E7" xr:uid="{CF1E71C6-CB69-4B0F-B912-41429001F1A7}">
      <formula1>M7</formula1>
    </dataValidation>
    <dataValidation type="whole" operator="lessThanOrEqual" allowBlank="1" showInputMessage="1" showErrorMessage="1" errorTitle="إدخال خاطئ" error="عدد الكروزات الذي قمت بإدخاله غير متوفر في المستودع" sqref="D7" xr:uid="{46AB5C6C-FFD2-4548-8D95-59EDCC38DF83}">
      <formula1>INT(L7/I7)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3608B-8137-4033-A26B-CB275064F2BD}">
  <sheetPr codeName="Sheet2"/>
  <dimension ref="A1:XFC19"/>
  <sheetViews>
    <sheetView zoomScale="145" zoomScaleNormal="145" workbookViewId="0">
      <pane ySplit="6" topLeftCell="A7" activePane="bottomLeft" state="frozen"/>
      <selection activeCell="K7" sqref="K7"/>
      <selection pane="bottomLeft" activeCell="C4" sqref="C4"/>
    </sheetView>
  </sheetViews>
  <sheetFormatPr defaultColWidth="0" defaultRowHeight="13.8" x14ac:dyDescent="0.3"/>
  <cols>
    <col min="1" max="1" width="9" style="8" customWidth="1"/>
    <col min="2" max="2" width="6.88671875" style="8" customWidth="1"/>
    <col min="3" max="3" width="21.5546875" style="8" customWidth="1"/>
    <col min="4" max="5" width="10.77734375" style="8" customWidth="1"/>
    <col min="6" max="6" width="11.21875" style="8" customWidth="1"/>
    <col min="7" max="7" width="12.77734375" style="8" customWidth="1"/>
    <col min="8" max="8" width="11.5546875" style="8" customWidth="1"/>
    <col min="9" max="9" width="13.5546875" style="8" customWidth="1"/>
    <col min="10" max="10" width="12.33203125" style="8" customWidth="1"/>
    <col min="11" max="11" width="18" style="8" customWidth="1"/>
    <col min="12" max="12" width="15.5546875" style="9" hidden="1"/>
    <col min="13" max="13" width="19.77734375" style="9" hidden="1"/>
    <col min="14" max="16383" width="8.88671875" style="9" hidden="1"/>
    <col min="16384" max="16384" width="5.33203125" style="9" hidden="1" customWidth="1"/>
  </cols>
  <sheetData>
    <row r="1" spans="1:11" ht="27.6" customHeight="1" x14ac:dyDescent="0.3">
      <c r="A1" s="74" t="s">
        <v>24</v>
      </c>
      <c r="B1" s="74"/>
      <c r="C1" s="74"/>
      <c r="D1" s="74"/>
      <c r="E1" s="74"/>
      <c r="F1" s="29"/>
      <c r="G1" s="22"/>
      <c r="H1" s="22"/>
      <c r="I1" s="22"/>
    </row>
    <row r="2" spans="1:11" ht="3" customHeight="1" x14ac:dyDescent="0.3"/>
    <row r="3" spans="1:11" ht="19.2" customHeight="1" thickBot="1" x14ac:dyDescent="0.35">
      <c r="A3" s="20" t="s">
        <v>7</v>
      </c>
      <c r="B3" s="20" t="s">
        <v>22</v>
      </c>
      <c r="C3" s="20" t="s">
        <v>25</v>
      </c>
      <c r="D3" s="20" t="s">
        <v>9</v>
      </c>
      <c r="E3" s="20" t="s">
        <v>10</v>
      </c>
      <c r="F3" s="20" t="s">
        <v>11</v>
      </c>
      <c r="G3" s="20" t="s">
        <v>12</v>
      </c>
      <c r="H3" s="20" t="s">
        <v>13</v>
      </c>
      <c r="I3" s="20" t="s">
        <v>14</v>
      </c>
    </row>
    <row r="4" spans="1:11" ht="16.8" customHeight="1" thickTop="1" thickBot="1" x14ac:dyDescent="0.35">
      <c r="A4" s="23" t="s">
        <v>27</v>
      </c>
      <c r="B4" s="8">
        <f>MAX(Bills!B:B)+1</f>
        <v>14</v>
      </c>
      <c r="C4" s="11"/>
      <c r="D4" s="72">
        <f>SUM(Table6[Total])</f>
        <v>0</v>
      </c>
      <c r="E4" s="69"/>
      <c r="F4" s="72">
        <f>Table8[[#This Row],[Total]]-Table8[[#This Row],[Discount]]</f>
        <v>0</v>
      </c>
      <c r="G4" s="69"/>
      <c r="H4" s="72">
        <f>Table8[[#This Row],[Total After Discount]]-Table8[[#This Row],[Amount Paid]]</f>
        <v>0</v>
      </c>
      <c r="I4" s="12">
        <f ca="1">NOW()</f>
        <v>45127.99253865741</v>
      </c>
    </row>
    <row r="5" spans="1:11" ht="5.4" customHeight="1" thickTop="1" x14ac:dyDescent="0.3"/>
    <row r="6" spans="1:11" ht="17.399999999999999" customHeight="1" x14ac:dyDescent="0.3">
      <c r="A6" s="20" t="s">
        <v>22</v>
      </c>
      <c r="B6" s="20" t="s">
        <v>23</v>
      </c>
      <c r="C6" s="20" t="s">
        <v>15</v>
      </c>
      <c r="D6" s="20" t="s">
        <v>26</v>
      </c>
      <c r="E6" s="20" t="s">
        <v>16</v>
      </c>
      <c r="F6" s="20" t="s">
        <v>17</v>
      </c>
      <c r="G6" s="20" t="s">
        <v>18</v>
      </c>
      <c r="H6" s="20" t="s">
        <v>9</v>
      </c>
      <c r="I6" s="20" t="s">
        <v>19</v>
      </c>
      <c r="J6" s="20" t="s">
        <v>20</v>
      </c>
      <c r="K6" s="20" t="s">
        <v>21</v>
      </c>
    </row>
    <row r="7" spans="1:11" ht="15" customHeight="1" x14ac:dyDescent="0.3">
      <c r="A7" s="24">
        <f>Table8[Order No.]</f>
        <v>14</v>
      </c>
      <c r="B7" s="24">
        <f>ROW(Table6[[#This Row],[Item No.]])-ROW(Table6[[#Headers],[Item No.]])</f>
        <v>1</v>
      </c>
      <c r="C7" s="25"/>
      <c r="D7" s="26"/>
      <c r="E7" s="27"/>
      <c r="F7" s="70">
        <f>IFERROR(INDEX(Table1[Box Purchase Price],MATCH(Table6[[#This Row],[Item]],Table1[Item],0),),0)</f>
        <v>0</v>
      </c>
      <c r="G7" s="71"/>
      <c r="H7" s="70">
        <f>Table6[[#This Row],[Amount/Boxes]]*Table6[[#This Row],[Box Price]]+Table6[[#This Row],[Amount/Single]]*Table6[[#This Row],[Single Item Price]]</f>
        <v>0</v>
      </c>
      <c r="I7" s="28">
        <f>IF(ISBLANK(Table6[[#This Row],[Correction of no. item in box]]),IFERROR(INDEX(Table1[No. of Items in Box],MATCH(Table6[[#This Row],[Item]],Table1[Item],0),),0),Table6[[#This Row],[Correction of no. item in box]])</f>
        <v>0</v>
      </c>
      <c r="J7" s="28" t="str">
        <f>IFERROR(IF(INT(INDEX('Available Amounts'!$B$2:$B$500,MATCH(Table6[[#This Row],[Item]],'Available Amounts'!$A$2:$A$500,0))/Table6[[#This Row],[Number of Items in Box]])=0,"",IF(MOD(INDEX('Available Amounts'!$B$2:$B$500,MATCH(Table6[[#This Row],[Item]],'Available Amounts'!$A$2:$A$500,0)),Table6[[#This Row],[Number of Items in Box]])=0,INT(INDEX('Available Amounts'!$B$2:$B$500,MATCH(Table6[[#This Row],[Item]],'Available Amounts'!$A$2:$A$500,0))/Table6[[#This Row],[Number of Items in Box]])&amp;" Box",INT(INDEX('Available Amounts'!$B$2:$B$500,MATCH(Table6[[#This Row],[Item]],'Available Amounts'!$A$2:$A$500,0))/Table6[[#This Row],[Number of Items in Box]])&amp;" Box + "))&amp;IF(MOD(INDEX('Available Amounts'!$B$2:$B$500,MATCH(Table6[[#This Row],[Item]],'Available Amounts'!$A$2:$A$500,0)),Table6[[#This Row],[Number of Items in Box]])=0,"",MOD(INDEX('Available Amounts'!$B$2:$B$500,MATCH(Table6[[#This Row],[Item]],'Available Amounts'!$A$2:$A$500,0)),Table6[[#This Row],[Number of Items in Box]])&amp;" Single"),"")</f>
        <v/>
      </c>
      <c r="K7" s="25"/>
    </row>
    <row r="8" spans="1:11" ht="15" customHeight="1" x14ac:dyDescent="0.3"/>
    <row r="9" spans="1:11" ht="15" customHeight="1" x14ac:dyDescent="0.3"/>
    <row r="10" spans="1:11" ht="15" customHeight="1" x14ac:dyDescent="0.3"/>
    <row r="11" spans="1:11" ht="15" customHeight="1" x14ac:dyDescent="0.3"/>
    <row r="12" spans="1:11" ht="15" customHeight="1" x14ac:dyDescent="0.3"/>
    <row r="13" spans="1:11" ht="15" customHeight="1" x14ac:dyDescent="0.3"/>
    <row r="14" spans="1:11" ht="15" customHeight="1" x14ac:dyDescent="0.3"/>
    <row r="15" spans="1:11" ht="15" customHeight="1" x14ac:dyDescent="0.3"/>
    <row r="16" spans="1:11" ht="15" customHeight="1" x14ac:dyDescent="0.3"/>
    <row r="17" ht="15" customHeight="1" x14ac:dyDescent="0.3"/>
    <row r="18" ht="15" customHeight="1" x14ac:dyDescent="0.3"/>
    <row r="19" ht="15" customHeight="1" x14ac:dyDescent="0.3"/>
  </sheetData>
  <sheetProtection algorithmName="SHA-512" hashValue="CmtKJaB01e2uSF/PlGcPPf/GCU8JtT3Tuv4sqTyCy/bUUVSZVK5VZGT/MEY/kaR7r3yuE0fYDv2JX1h8EMPapQ==" saltValue="6JnXlEpABz17bIBQz6lOTQ==" spinCount="100000" sheet="1" objects="1" scenarios="1" sort="0" autoFilter="0" pivotTables="0"/>
  <mergeCells count="1">
    <mergeCell ref="A1:E1"/>
  </mergeCells>
  <phoneticPr fontId="4" type="noConversion"/>
  <dataValidations count="3">
    <dataValidation type="decimal" operator="greaterThanOrEqual" allowBlank="1" showInputMessage="1" showErrorMessage="1" sqref="E4 G4 K7 G7 D7:E7" xr:uid="{A39E2D4C-837A-4088-93E3-AA3D13EA7FDC}">
      <formula1>0</formula1>
    </dataValidation>
    <dataValidation type="list" allowBlank="1" showInputMessage="1" showErrorMessage="1" sqref="C4" xr:uid="{7CC66E21-1B5A-4B47-8CD0-328FD191F688}">
      <formula1>Suppliersnames</formula1>
    </dataValidation>
    <dataValidation type="list" allowBlank="1" showInputMessage="1" showErrorMessage="1" sqref="C7" xr:uid="{F1B41496-B2FF-41D3-B5C4-493C95A15D7E}">
      <formula1>itemname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A86F1-615E-4781-BED9-FDCF6E46CBC3}">
  <sheetPr codeName="Sheet10"/>
  <dimension ref="A1:J14"/>
  <sheetViews>
    <sheetView zoomScale="190" zoomScaleNormal="190" workbookViewId="0">
      <selection activeCell="G13" sqref="G13"/>
    </sheetView>
  </sheetViews>
  <sheetFormatPr defaultColWidth="0" defaultRowHeight="14.4" zeroHeight="1" x14ac:dyDescent="0.3"/>
  <cols>
    <col min="1" max="2" width="8.88671875" style="30" customWidth="1"/>
    <col min="3" max="3" width="22.109375" style="30" customWidth="1"/>
    <col min="4" max="6" width="8.88671875" style="30" hidden="1" customWidth="1"/>
    <col min="7" max="7" width="12" style="30" customWidth="1"/>
    <col min="8" max="8" width="12" style="30" hidden="1" customWidth="1"/>
    <col min="9" max="10" width="12" style="30" customWidth="1"/>
    <col min="11" max="16384" width="8.88671875" style="30" hidden="1"/>
  </cols>
  <sheetData>
    <row r="1" spans="1:10" ht="21.6" customHeight="1" x14ac:dyDescent="0.3">
      <c r="A1" s="77" t="s">
        <v>28</v>
      </c>
      <c r="B1" s="77"/>
      <c r="C1" s="77"/>
      <c r="D1" s="77"/>
      <c r="E1" s="77"/>
      <c r="F1" s="77"/>
      <c r="G1" s="77"/>
      <c r="H1" s="77"/>
      <c r="I1" s="77"/>
      <c r="J1" s="77"/>
    </row>
    <row r="2" spans="1:10" ht="4.8" customHeight="1" x14ac:dyDescent="0.3">
      <c r="A2" s="31"/>
      <c r="B2" s="31"/>
      <c r="C2" s="31"/>
      <c r="D2" s="31"/>
      <c r="E2" s="31"/>
      <c r="F2" s="31"/>
      <c r="G2" s="31"/>
      <c r="H2" s="31"/>
      <c r="I2" s="31"/>
      <c r="J2" s="31"/>
    </row>
    <row r="3" spans="1:10" ht="25.2" customHeight="1" x14ac:dyDescent="0.3">
      <c r="A3" s="76" t="s">
        <v>29</v>
      </c>
      <c r="B3" s="76"/>
      <c r="C3" s="76"/>
      <c r="D3" s="76"/>
      <c r="E3" s="76"/>
      <c r="F3" s="76"/>
      <c r="G3" s="76"/>
      <c r="H3" s="76"/>
      <c r="I3" s="76"/>
      <c r="J3" s="76"/>
    </row>
    <row r="4" spans="1:10" ht="6" customHeight="1" x14ac:dyDescent="0.3">
      <c r="A4" s="10"/>
      <c r="B4" s="10"/>
      <c r="C4" s="10"/>
      <c r="D4" s="10"/>
      <c r="E4" s="10"/>
      <c r="F4" s="10"/>
      <c r="G4" s="10"/>
      <c r="H4" s="10"/>
      <c r="I4" s="10"/>
    </row>
    <row r="5" spans="1:10" ht="15.6" customHeight="1" thickBot="1" x14ac:dyDescent="0.35">
      <c r="A5" s="10" t="s">
        <v>7</v>
      </c>
      <c r="B5" s="10" t="s">
        <v>22</v>
      </c>
      <c r="C5" s="10" t="s">
        <v>25</v>
      </c>
      <c r="D5" s="10" t="s">
        <v>2</v>
      </c>
      <c r="E5" s="10" t="s">
        <v>3</v>
      </c>
      <c r="F5" s="10" t="s">
        <v>4</v>
      </c>
      <c r="G5" s="10" t="s">
        <v>9</v>
      </c>
      <c r="H5" s="10" t="s">
        <v>123</v>
      </c>
      <c r="I5" s="10" t="s">
        <v>14</v>
      </c>
      <c r="J5" s="10" t="s">
        <v>13</v>
      </c>
    </row>
    <row r="6" spans="1:10" ht="15.6" customHeight="1" thickTop="1" x14ac:dyDescent="0.3">
      <c r="A6" s="32" t="s">
        <v>27</v>
      </c>
      <c r="B6" s="10">
        <f>MAX(Bills!B:B)+1</f>
        <v>14</v>
      </c>
      <c r="C6" s="33" t="s">
        <v>83</v>
      </c>
      <c r="D6" s="34"/>
      <c r="E6" s="33"/>
      <c r="F6" s="34"/>
      <c r="G6" s="63"/>
      <c r="H6" s="10">
        <f>-Table83[[#This Row],[Total]]</f>
        <v>0</v>
      </c>
      <c r="I6" s="12">
        <f ca="1">NOW()</f>
        <v>45127.99253865741</v>
      </c>
      <c r="J6" s="61">
        <f>IFERROR(GETPIVOTDATA("Sum of Amount Left",'Customer and Destributer Totals'!$A$4,"Customer/Distributer",Table83[[#This Row],[Distributer]])-Table83[[#This Row],[Total]],"")</f>
        <v>5</v>
      </c>
    </row>
    <row r="7" spans="1:10" ht="8.4" customHeight="1" x14ac:dyDescent="0.3">
      <c r="A7" s="31"/>
      <c r="B7" s="31"/>
      <c r="C7" s="31"/>
      <c r="D7" s="31"/>
      <c r="E7" s="31"/>
      <c r="F7" s="31"/>
      <c r="G7" s="31"/>
      <c r="H7" s="31"/>
      <c r="I7" s="31"/>
      <c r="J7" s="31"/>
    </row>
    <row r="8" spans="1:10" ht="8.4" customHeight="1" x14ac:dyDescent="0.3">
      <c r="A8" s="35"/>
      <c r="B8" s="36"/>
      <c r="C8" s="36"/>
      <c r="D8" s="36"/>
      <c r="E8" s="36"/>
      <c r="F8" s="36"/>
      <c r="G8" s="36"/>
      <c r="H8" s="36"/>
      <c r="I8" s="36"/>
      <c r="J8" s="37"/>
    </row>
    <row r="9" spans="1:10" ht="8.4" customHeight="1" x14ac:dyDescent="0.3">
      <c r="A9" s="31"/>
      <c r="B9" s="31"/>
      <c r="C9" s="31"/>
      <c r="D9" s="31"/>
      <c r="E9" s="31"/>
      <c r="F9" s="31"/>
      <c r="G9" s="31"/>
      <c r="H9" s="31"/>
      <c r="I9" s="31"/>
      <c r="J9" s="31"/>
    </row>
    <row r="10" spans="1:10" ht="25.2" customHeight="1" x14ac:dyDescent="0.3">
      <c r="A10" s="75" t="s">
        <v>127</v>
      </c>
      <c r="B10" s="75"/>
      <c r="C10" s="75"/>
      <c r="D10" s="75"/>
      <c r="E10" s="75"/>
      <c r="F10" s="75"/>
      <c r="G10" s="75"/>
      <c r="H10" s="75"/>
      <c r="I10" s="75"/>
      <c r="J10" s="75"/>
    </row>
    <row r="11" spans="1:10" ht="4.2" customHeight="1" x14ac:dyDescent="0.3">
      <c r="A11" s="10"/>
      <c r="B11" s="10"/>
      <c r="C11" s="10"/>
      <c r="D11" s="10"/>
      <c r="E11" s="10"/>
      <c r="F11" s="10"/>
      <c r="G11" s="10"/>
      <c r="H11" s="10"/>
      <c r="I11" s="10"/>
    </row>
    <row r="12" spans="1:10" ht="15" thickBot="1" x14ac:dyDescent="0.35">
      <c r="A12" s="10" t="s">
        <v>7</v>
      </c>
      <c r="B12" s="10" t="s">
        <v>22</v>
      </c>
      <c r="C12" s="10" t="s">
        <v>126</v>
      </c>
      <c r="D12" s="10" t="s">
        <v>2</v>
      </c>
      <c r="E12" s="10" t="s">
        <v>3</v>
      </c>
      <c r="F12" s="10" t="s">
        <v>4</v>
      </c>
      <c r="G12" s="10" t="s">
        <v>9</v>
      </c>
      <c r="H12" s="10" t="s">
        <v>123</v>
      </c>
      <c r="I12" s="10" t="s">
        <v>14</v>
      </c>
      <c r="J12" s="10" t="s">
        <v>13</v>
      </c>
    </row>
    <row r="13" spans="1:10" ht="15.6" thickTop="1" thickBot="1" x14ac:dyDescent="0.35">
      <c r="A13" s="10" t="s">
        <v>5</v>
      </c>
      <c r="B13" s="10">
        <f>MAX(Bills!B:B)+1</f>
        <v>14</v>
      </c>
      <c r="C13" s="38" t="s">
        <v>93</v>
      </c>
      <c r="D13" s="34"/>
      <c r="E13" s="38"/>
      <c r="F13" s="34"/>
      <c r="G13" s="62"/>
      <c r="H13" s="10">
        <f>-Table138[[#This Row],[Total]]</f>
        <v>0</v>
      </c>
      <c r="I13" s="12">
        <f ca="1">NOW()</f>
        <v>45127.99253865741</v>
      </c>
      <c r="J13" s="61">
        <f>IFERROR(GETPIVOTDATA("Sum of Amount Left",'Customer and Destributer Totals'!$G$4,"Customer/Distributer",Table138[[#This Row],[Customer]])-Table138[[#This Row],[Total]],"")</f>
        <v>1.7763568394002505E-15</v>
      </c>
    </row>
    <row r="14" spans="1:10" ht="4.8" customHeight="1" thickTop="1" x14ac:dyDescent="0.3"/>
  </sheetData>
  <mergeCells count="3">
    <mergeCell ref="A10:J10"/>
    <mergeCell ref="A3:J3"/>
    <mergeCell ref="A1:J1"/>
  </mergeCells>
  <dataValidations count="3">
    <dataValidation type="list" allowBlank="1" showInputMessage="1" showErrorMessage="1" sqref="C6" xr:uid="{25CED3C0-7DF8-4FF9-8A42-0B123B1AA3F4}">
      <formula1>Suppliersnames</formula1>
    </dataValidation>
    <dataValidation type="whole" operator="greaterThanOrEqual" allowBlank="1" showInputMessage="1" showErrorMessage="1" sqref="E6 G6" xr:uid="{112B6F1E-AE55-4356-9C41-6D396758B8C3}">
      <formula1>0</formula1>
    </dataValidation>
    <dataValidation type="list" allowBlank="1" showInputMessage="1" showErrorMessage="1" sqref="C13" xr:uid="{AF9087E5-0429-4437-9898-7BE93ADA2E1D}">
      <formula1>customers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B462F-6EE5-4717-9824-C8093D24FF99}">
  <sheetPr codeName="Sheet9"/>
  <dimension ref="A1:G53"/>
  <sheetViews>
    <sheetView zoomScale="145" zoomScaleNormal="145" workbookViewId="0">
      <selection activeCell="H11" sqref="H11"/>
    </sheetView>
  </sheetViews>
  <sheetFormatPr defaultRowHeight="14.4" x14ac:dyDescent="0.3"/>
  <cols>
    <col min="1" max="1" width="21.6640625" style="39" customWidth="1"/>
    <col min="2" max="2" width="18.44140625" style="39" customWidth="1"/>
    <col min="3" max="3" width="25" style="39" customWidth="1"/>
    <col min="4" max="4" width="11.5546875" style="39" customWidth="1"/>
    <col min="5" max="5" width="18.6640625" style="39" customWidth="1"/>
    <col min="6" max="6" width="17.5546875" style="39" customWidth="1"/>
    <col min="7" max="7" width="15" style="39" customWidth="1"/>
    <col min="8" max="10" width="17.21875" style="39" bestFit="1" customWidth="1"/>
    <col min="11" max="11" width="22" style="39" bestFit="1" customWidth="1"/>
    <col min="12" max="12" width="21.5546875" style="39" bestFit="1" customWidth="1"/>
    <col min="13" max="16384" width="8.88671875" style="39"/>
  </cols>
  <sheetData>
    <row r="1" spans="1:7" ht="30" customHeight="1" x14ac:dyDescent="0.3">
      <c r="A1" s="81" t="s">
        <v>30</v>
      </c>
      <c r="B1" s="81"/>
      <c r="C1" s="81"/>
      <c r="D1" s="81"/>
      <c r="E1" s="81"/>
      <c r="F1" s="81"/>
      <c r="G1" s="81"/>
    </row>
    <row r="3" spans="1:7" ht="16.2" customHeight="1" x14ac:dyDescent="0.3">
      <c r="A3" s="55" t="s">
        <v>14</v>
      </c>
      <c r="B3" s="55" t="s">
        <v>7</v>
      </c>
      <c r="C3" s="55" t="s">
        <v>22</v>
      </c>
      <c r="D3" s="66" t="s">
        <v>122</v>
      </c>
      <c r="E3" s="66" t="s">
        <v>121</v>
      </c>
      <c r="F3" s="66" t="s">
        <v>119</v>
      </c>
      <c r="G3"/>
    </row>
    <row r="4" spans="1:7" x14ac:dyDescent="0.3">
      <c r="A4" s="65">
        <v>45065.55059027778</v>
      </c>
      <c r="B4" s="80" t="s">
        <v>27</v>
      </c>
      <c r="C4" s="67">
        <v>1</v>
      </c>
      <c r="D4" s="56">
        <v>20</v>
      </c>
      <c r="E4" s="56"/>
      <c r="F4" s="56">
        <v>20</v>
      </c>
      <c r="G4"/>
    </row>
    <row r="5" spans="1:7" x14ac:dyDescent="0.3">
      <c r="A5" s="65">
        <v>45065.55568287037</v>
      </c>
      <c r="B5" s="79" t="s">
        <v>27</v>
      </c>
      <c r="C5" s="67">
        <v>2</v>
      </c>
      <c r="D5" s="56">
        <v>260</v>
      </c>
      <c r="E5" s="56">
        <v>250</v>
      </c>
      <c r="F5" s="56">
        <v>10</v>
      </c>
      <c r="G5"/>
    </row>
    <row r="6" spans="1:7" x14ac:dyDescent="0.3">
      <c r="A6" s="65">
        <v>45065.583009259259</v>
      </c>
      <c r="B6" s="67" t="s">
        <v>5</v>
      </c>
      <c r="C6" s="67">
        <v>3</v>
      </c>
      <c r="D6" s="56">
        <v>8.5</v>
      </c>
      <c r="E6" s="56">
        <v>0.2</v>
      </c>
      <c r="F6" s="56">
        <v>8.3000000000000007</v>
      </c>
      <c r="G6"/>
    </row>
    <row r="7" spans="1:7" x14ac:dyDescent="0.3">
      <c r="A7" s="65">
        <v>45066.238125000003</v>
      </c>
      <c r="B7" s="67" t="s">
        <v>27</v>
      </c>
      <c r="C7" s="67">
        <v>5</v>
      </c>
      <c r="D7" s="56"/>
      <c r="E7" s="56">
        <v>5</v>
      </c>
      <c r="F7" s="56">
        <v>-5</v>
      </c>
      <c r="G7"/>
    </row>
    <row r="8" spans="1:7" x14ac:dyDescent="0.3">
      <c r="A8" s="65">
        <v>45066.244675925926</v>
      </c>
      <c r="B8" s="80" t="s">
        <v>5</v>
      </c>
      <c r="C8" s="67">
        <v>6</v>
      </c>
      <c r="D8" s="56">
        <v>7.7000000000000011</v>
      </c>
      <c r="E8" s="56">
        <v>7.5</v>
      </c>
      <c r="F8" s="56">
        <v>0.20000000000000107</v>
      </c>
      <c r="G8"/>
    </row>
    <row r="9" spans="1:7" x14ac:dyDescent="0.3">
      <c r="A9" s="65">
        <v>45066.245763888888</v>
      </c>
      <c r="B9" s="79" t="s">
        <v>5</v>
      </c>
      <c r="C9" s="67">
        <v>7</v>
      </c>
      <c r="D9" s="56"/>
      <c r="E9" s="56">
        <v>4</v>
      </c>
      <c r="F9" s="56">
        <v>-4</v>
      </c>
      <c r="G9"/>
    </row>
    <row r="10" spans="1:7" x14ac:dyDescent="0.3">
      <c r="A10" s="65">
        <v>45125.069155092591</v>
      </c>
      <c r="B10" s="79" t="s">
        <v>5</v>
      </c>
      <c r="C10" s="67">
        <v>8</v>
      </c>
      <c r="D10" s="56">
        <v>12</v>
      </c>
      <c r="E10" s="56">
        <v>12</v>
      </c>
      <c r="F10" s="56">
        <v>0</v>
      </c>
      <c r="G10"/>
    </row>
    <row r="11" spans="1:7" x14ac:dyDescent="0.3">
      <c r="A11" s="65">
        <v>45125.229756944442</v>
      </c>
      <c r="B11" s="67" t="s">
        <v>27</v>
      </c>
      <c r="C11" s="67">
        <v>9</v>
      </c>
      <c r="D11" s="56"/>
      <c r="E11" s="56">
        <v>5</v>
      </c>
      <c r="F11" s="56">
        <v>-5</v>
      </c>
      <c r="G11"/>
    </row>
    <row r="12" spans="1:7" x14ac:dyDescent="0.3">
      <c r="A12" s="65">
        <v>45125.234236111108</v>
      </c>
      <c r="B12" s="67" t="s">
        <v>5</v>
      </c>
      <c r="C12" s="67">
        <v>10</v>
      </c>
      <c r="D12" s="56"/>
      <c r="E12" s="56">
        <v>4.5</v>
      </c>
      <c r="F12" s="56">
        <v>-4.5</v>
      </c>
      <c r="G12"/>
    </row>
    <row r="13" spans="1:7" x14ac:dyDescent="0.3">
      <c r="A13" s="65">
        <v>45127.987708333334</v>
      </c>
      <c r="B13" s="67" t="s">
        <v>27</v>
      </c>
      <c r="C13" s="67">
        <v>11</v>
      </c>
      <c r="D13" s="56">
        <v>74</v>
      </c>
      <c r="E13" s="56">
        <v>70</v>
      </c>
      <c r="F13" s="56">
        <v>4</v>
      </c>
      <c r="G13"/>
    </row>
    <row r="14" spans="1:7" x14ac:dyDescent="0.3">
      <c r="A14" s="65">
        <v>45127.991284722222</v>
      </c>
      <c r="B14" s="67" t="s">
        <v>5</v>
      </c>
      <c r="C14" s="67">
        <v>12</v>
      </c>
      <c r="D14" s="56">
        <v>30</v>
      </c>
      <c r="E14" s="56">
        <v>30</v>
      </c>
      <c r="F14" s="56">
        <v>0</v>
      </c>
      <c r="G14"/>
    </row>
    <row r="15" spans="1:7" x14ac:dyDescent="0.3">
      <c r="A15" s="65">
        <v>45127.991331018522</v>
      </c>
      <c r="B15" s="67" t="s">
        <v>27</v>
      </c>
      <c r="C15" s="67">
        <v>13</v>
      </c>
      <c r="D15" s="56">
        <v>61.5</v>
      </c>
      <c r="E15" s="56">
        <v>31.5</v>
      </c>
      <c r="F15" s="56">
        <v>30</v>
      </c>
      <c r="G15"/>
    </row>
    <row r="16" spans="1:7" x14ac:dyDescent="0.3">
      <c r="A16" s="78" t="s">
        <v>124</v>
      </c>
      <c r="B16" s="79"/>
      <c r="C16" s="79"/>
      <c r="D16" s="56">
        <v>473.7</v>
      </c>
      <c r="E16" s="56">
        <v>419.7</v>
      </c>
      <c r="F16" s="56">
        <v>54</v>
      </c>
      <c r="G16"/>
    </row>
    <row r="17" spans="1:7" x14ac:dyDescent="0.3">
      <c r="A17"/>
      <c r="B17"/>
      <c r="C17"/>
      <c r="D17"/>
      <c r="E17"/>
      <c r="F17"/>
      <c r="G17"/>
    </row>
    <row r="18" spans="1:7" x14ac:dyDescent="0.3">
      <c r="A18"/>
      <c r="B18"/>
      <c r="C18"/>
      <c r="D18"/>
      <c r="E18"/>
      <c r="F18"/>
      <c r="G18"/>
    </row>
    <row r="19" spans="1:7" x14ac:dyDescent="0.3">
      <c r="A19"/>
      <c r="B19"/>
      <c r="C19"/>
      <c r="D19"/>
      <c r="E19"/>
      <c r="F19"/>
      <c r="G19"/>
    </row>
    <row r="20" spans="1:7" x14ac:dyDescent="0.3">
      <c r="A20"/>
      <c r="B20"/>
      <c r="C20"/>
      <c r="D20"/>
      <c r="E20"/>
      <c r="F20"/>
      <c r="G20"/>
    </row>
    <row r="21" spans="1:7" x14ac:dyDescent="0.3">
      <c r="A21"/>
      <c r="B21"/>
      <c r="C21"/>
      <c r="D21"/>
      <c r="E21" s="40"/>
      <c r="F21" s="40"/>
      <c r="G21" s="40"/>
    </row>
    <row r="22" spans="1:7" x14ac:dyDescent="0.3">
      <c r="A22"/>
      <c r="B22"/>
      <c r="C22"/>
      <c r="D22"/>
      <c r="E22" s="40"/>
      <c r="F22" s="40"/>
      <c r="G22" s="40"/>
    </row>
    <row r="23" spans="1:7" x14ac:dyDescent="0.3">
      <c r="A23"/>
      <c r="B23"/>
      <c r="C23"/>
      <c r="D23"/>
      <c r="E23" s="40"/>
      <c r="F23" s="40"/>
      <c r="G23" s="40"/>
    </row>
    <row r="24" spans="1:7" x14ac:dyDescent="0.3">
      <c r="A24"/>
      <c r="B24"/>
      <c r="C24"/>
      <c r="D24"/>
      <c r="E24" s="40"/>
      <c r="F24" s="40"/>
      <c r="G24" s="40"/>
    </row>
    <row r="25" spans="1:7" x14ac:dyDescent="0.3">
      <c r="A25"/>
      <c r="B25"/>
      <c r="C25"/>
      <c r="D25"/>
      <c r="E25" s="40"/>
      <c r="F25" s="40"/>
      <c r="G25" s="40"/>
    </row>
    <row r="26" spans="1:7" x14ac:dyDescent="0.3">
      <c r="A26"/>
      <c r="B26"/>
      <c r="C26"/>
      <c r="D26"/>
      <c r="E26" s="40"/>
      <c r="F26" s="40"/>
      <c r="G26" s="40"/>
    </row>
    <row r="27" spans="1:7" x14ac:dyDescent="0.3">
      <c r="A27"/>
      <c r="B27"/>
      <c r="C27"/>
      <c r="D27"/>
      <c r="E27" s="40"/>
      <c r="F27" s="40"/>
      <c r="G27" s="40"/>
    </row>
    <row r="28" spans="1:7" x14ac:dyDescent="0.3">
      <c r="A28" s="40"/>
      <c r="B28" s="40"/>
      <c r="C28" s="40"/>
      <c r="D28" s="40"/>
      <c r="E28" s="40"/>
      <c r="F28" s="40"/>
      <c r="G28" s="40"/>
    </row>
    <row r="29" spans="1:7" x14ac:dyDescent="0.3">
      <c r="A29" s="40"/>
      <c r="B29" s="40"/>
      <c r="C29" s="40"/>
      <c r="D29" s="40"/>
      <c r="E29" s="40"/>
      <c r="F29" s="40"/>
      <c r="G29" s="40"/>
    </row>
    <row r="30" spans="1:7" x14ac:dyDescent="0.3">
      <c r="A30" s="40"/>
      <c r="B30" s="40"/>
      <c r="C30" s="40"/>
      <c r="D30" s="40"/>
      <c r="E30" s="40"/>
      <c r="F30" s="40"/>
      <c r="G30" s="40"/>
    </row>
    <row r="31" spans="1:7" x14ac:dyDescent="0.3">
      <c r="A31" s="40"/>
      <c r="B31" s="40"/>
      <c r="C31" s="40"/>
      <c r="D31" s="40"/>
      <c r="E31" s="40"/>
      <c r="F31" s="40"/>
      <c r="G31" s="40"/>
    </row>
    <row r="32" spans="1:7" x14ac:dyDescent="0.3">
      <c r="A32" s="40"/>
      <c r="B32" s="40"/>
      <c r="C32" s="40"/>
      <c r="D32" s="40"/>
      <c r="E32" s="40"/>
      <c r="F32" s="40"/>
      <c r="G32" s="40"/>
    </row>
    <row r="33" spans="1:7" x14ac:dyDescent="0.3">
      <c r="A33" s="40"/>
      <c r="B33" s="40"/>
      <c r="C33" s="40"/>
      <c r="D33" s="40"/>
      <c r="E33" s="40"/>
      <c r="F33" s="40"/>
      <c r="G33" s="40"/>
    </row>
    <row r="34" spans="1:7" x14ac:dyDescent="0.3">
      <c r="A34" s="40"/>
      <c r="B34" s="40"/>
      <c r="C34" s="40"/>
      <c r="D34" s="40"/>
      <c r="E34" s="40"/>
      <c r="F34" s="40"/>
      <c r="G34" s="40"/>
    </row>
    <row r="35" spans="1:7" x14ac:dyDescent="0.3">
      <c r="A35" s="40"/>
      <c r="B35" s="40"/>
      <c r="C35" s="40"/>
      <c r="D35" s="40"/>
      <c r="E35" s="40"/>
      <c r="F35" s="40"/>
      <c r="G35" s="40"/>
    </row>
    <row r="36" spans="1:7" x14ac:dyDescent="0.3">
      <c r="A36" s="40"/>
      <c r="B36" s="40"/>
      <c r="C36" s="40"/>
      <c r="D36" s="40"/>
      <c r="E36" s="40"/>
      <c r="F36" s="40"/>
      <c r="G36" s="40"/>
    </row>
    <row r="37" spans="1:7" x14ac:dyDescent="0.3">
      <c r="A37" s="40"/>
      <c r="B37" s="40"/>
      <c r="C37" s="40"/>
      <c r="D37" s="40"/>
      <c r="E37" s="40"/>
      <c r="F37" s="40"/>
      <c r="G37" s="40"/>
    </row>
    <row r="38" spans="1:7" x14ac:dyDescent="0.3">
      <c r="A38" s="40"/>
      <c r="B38" s="40"/>
      <c r="C38" s="40"/>
      <c r="D38" s="40"/>
      <c r="E38" s="40"/>
      <c r="F38" s="40"/>
      <c r="G38" s="40"/>
    </row>
    <row r="39" spans="1:7" x14ac:dyDescent="0.3">
      <c r="A39" s="40"/>
      <c r="B39" s="40"/>
      <c r="C39" s="40"/>
      <c r="D39" s="40"/>
      <c r="E39" s="40"/>
      <c r="F39" s="40"/>
      <c r="G39" s="40"/>
    </row>
    <row r="40" spans="1:7" x14ac:dyDescent="0.3">
      <c r="A40" s="40"/>
      <c r="B40" s="40"/>
      <c r="C40" s="40"/>
      <c r="D40" s="40"/>
      <c r="E40" s="40"/>
      <c r="F40" s="40"/>
      <c r="G40" s="40"/>
    </row>
    <row r="41" spans="1:7" x14ac:dyDescent="0.3">
      <c r="A41" s="40"/>
      <c r="B41" s="40"/>
      <c r="C41" s="40"/>
      <c r="D41" s="40"/>
      <c r="E41" s="40"/>
      <c r="F41" s="40"/>
      <c r="G41" s="40"/>
    </row>
    <row r="42" spans="1:7" x14ac:dyDescent="0.3">
      <c r="A42" s="40"/>
      <c r="B42" s="40"/>
      <c r="C42" s="40"/>
      <c r="D42" s="40"/>
      <c r="E42" s="40"/>
      <c r="F42" s="40"/>
      <c r="G42" s="40"/>
    </row>
    <row r="43" spans="1:7" x14ac:dyDescent="0.3">
      <c r="A43" s="40"/>
      <c r="B43" s="40"/>
      <c r="C43" s="40"/>
      <c r="D43" s="40"/>
      <c r="E43" s="40"/>
      <c r="F43" s="40"/>
      <c r="G43" s="40"/>
    </row>
    <row r="44" spans="1:7" x14ac:dyDescent="0.3">
      <c r="A44" s="40"/>
      <c r="B44" s="40"/>
      <c r="C44" s="40"/>
      <c r="D44" s="40"/>
      <c r="E44" s="40"/>
      <c r="F44" s="40"/>
      <c r="G44" s="40"/>
    </row>
    <row r="45" spans="1:7" x14ac:dyDescent="0.3">
      <c r="A45" s="40"/>
      <c r="B45" s="40"/>
      <c r="C45" s="40"/>
      <c r="D45" s="40"/>
      <c r="E45" s="40"/>
      <c r="F45" s="40"/>
      <c r="G45" s="40"/>
    </row>
    <row r="46" spans="1:7" x14ac:dyDescent="0.3">
      <c r="A46" s="40"/>
      <c r="B46" s="40"/>
      <c r="C46" s="40"/>
      <c r="D46" s="40"/>
      <c r="E46" s="40"/>
      <c r="F46" s="40"/>
      <c r="G46" s="40"/>
    </row>
    <row r="47" spans="1:7" x14ac:dyDescent="0.3">
      <c r="A47" s="40"/>
      <c r="B47" s="40"/>
      <c r="C47" s="40"/>
      <c r="D47" s="40"/>
      <c r="E47" s="40"/>
      <c r="F47" s="40"/>
      <c r="G47" s="40"/>
    </row>
    <row r="48" spans="1:7" x14ac:dyDescent="0.3">
      <c r="A48" s="40"/>
      <c r="B48" s="40"/>
      <c r="C48" s="40"/>
      <c r="D48" s="40"/>
      <c r="E48" s="40"/>
      <c r="F48" s="40"/>
      <c r="G48" s="40"/>
    </row>
    <row r="49" spans="1:7" x14ac:dyDescent="0.3">
      <c r="A49" s="40"/>
      <c r="B49" s="40"/>
      <c r="C49" s="40"/>
      <c r="D49" s="40"/>
      <c r="E49" s="40"/>
      <c r="F49" s="40"/>
      <c r="G49" s="40"/>
    </row>
    <row r="50" spans="1:7" x14ac:dyDescent="0.3">
      <c r="A50" s="40"/>
      <c r="B50" s="40"/>
      <c r="C50" s="40"/>
      <c r="D50" s="40"/>
      <c r="E50" s="40"/>
      <c r="F50" s="40"/>
      <c r="G50" s="40"/>
    </row>
    <row r="51" spans="1:7" x14ac:dyDescent="0.3">
      <c r="A51" s="40"/>
      <c r="B51" s="40"/>
      <c r="C51" s="40"/>
      <c r="D51" s="40"/>
      <c r="E51" s="40"/>
      <c r="F51" s="40"/>
      <c r="G51" s="40"/>
    </row>
    <row r="52" spans="1:7" x14ac:dyDescent="0.3">
      <c r="A52" s="40"/>
      <c r="B52" s="40"/>
      <c r="C52" s="40"/>
      <c r="D52" s="40"/>
      <c r="E52" s="40"/>
      <c r="F52" s="40"/>
      <c r="G52" s="40"/>
    </row>
    <row r="53" spans="1:7" x14ac:dyDescent="0.3">
      <c r="A53" s="40"/>
      <c r="B53" s="40"/>
      <c r="C53" s="40"/>
      <c r="D53" s="40"/>
      <c r="E53" s="40"/>
      <c r="F53" s="40"/>
      <c r="G53" s="40"/>
    </row>
  </sheetData>
  <mergeCells count="4">
    <mergeCell ref="A16:C16"/>
    <mergeCell ref="B4:B5"/>
    <mergeCell ref="B8:B10"/>
    <mergeCell ref="A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D613-14CC-449B-AA53-D984F773A96B}">
  <sheetPr codeName="Sheet11"/>
  <dimension ref="A1:J1261"/>
  <sheetViews>
    <sheetView zoomScale="145" zoomScaleNormal="145" workbookViewId="0">
      <pane ySplit="4" topLeftCell="A5" activePane="bottomLeft" state="frozen"/>
      <selection pane="bottomLeft" activeCell="G11" sqref="G11"/>
    </sheetView>
  </sheetViews>
  <sheetFormatPr defaultColWidth="0" defaultRowHeight="14.4" x14ac:dyDescent="0.3"/>
  <cols>
    <col min="1" max="4" width="15.6640625" style="4" customWidth="1"/>
    <col min="5" max="6" width="4" style="4" customWidth="1"/>
    <col min="7" max="10" width="15.6640625" style="4" customWidth="1"/>
    <col min="11" max="16384" width="8.88671875" style="4" hidden="1"/>
  </cols>
  <sheetData>
    <row r="1" spans="1:10" s="54" customFormat="1" ht="30.6" customHeight="1" x14ac:dyDescent="0.3">
      <c r="A1" s="82" t="s">
        <v>120</v>
      </c>
      <c r="B1" s="82"/>
      <c r="C1" s="82"/>
      <c r="D1" s="82"/>
      <c r="E1" s="53"/>
      <c r="G1" s="83" t="s">
        <v>129</v>
      </c>
      <c r="H1" s="83"/>
      <c r="I1" s="83"/>
      <c r="J1" s="83"/>
    </row>
    <row r="2" spans="1:10" x14ac:dyDescent="0.3">
      <c r="A2" s="52" t="s">
        <v>7</v>
      </c>
      <c r="B2" s="6" t="s">
        <v>27</v>
      </c>
      <c r="G2" s="52" t="s">
        <v>7</v>
      </c>
      <c r="H2" s="6" t="s">
        <v>5</v>
      </c>
    </row>
    <row r="3" spans="1:10" ht="8.4" customHeight="1" x14ac:dyDescent="0.3"/>
    <row r="4" spans="1:10" ht="19.2" customHeight="1" x14ac:dyDescent="0.3">
      <c r="A4" s="52" t="s">
        <v>25</v>
      </c>
      <c r="B4" s="5" t="s">
        <v>122</v>
      </c>
      <c r="C4" s="5" t="s">
        <v>121</v>
      </c>
      <c r="D4" s="5" t="s">
        <v>119</v>
      </c>
      <c r="E4" s="3"/>
      <c r="G4" s="52" t="s">
        <v>126</v>
      </c>
      <c r="H4" s="5" t="s">
        <v>122</v>
      </c>
      <c r="I4" s="5" t="s">
        <v>121</v>
      </c>
      <c r="J4" s="5" t="s">
        <v>119</v>
      </c>
    </row>
    <row r="5" spans="1:10" ht="15.6" customHeight="1" x14ac:dyDescent="0.3">
      <c r="A5" s="6" t="s">
        <v>83</v>
      </c>
      <c r="B5" s="64">
        <v>260</v>
      </c>
      <c r="C5" s="64">
        <v>255</v>
      </c>
      <c r="D5" s="64">
        <v>5</v>
      </c>
      <c r="E5" s="3"/>
      <c r="G5" s="6" t="s">
        <v>93</v>
      </c>
      <c r="H5" s="64">
        <v>58.2</v>
      </c>
      <c r="I5" s="64">
        <v>58.2</v>
      </c>
      <c r="J5" s="64">
        <v>1.7763568394002505E-15</v>
      </c>
    </row>
    <row r="6" spans="1:10" ht="15.6" customHeight="1" x14ac:dyDescent="0.3">
      <c r="A6" s="6" t="s">
        <v>68</v>
      </c>
      <c r="B6" s="64">
        <v>20</v>
      </c>
      <c r="C6" s="64">
        <v>5</v>
      </c>
      <c r="D6" s="64">
        <v>15</v>
      </c>
      <c r="E6" s="3"/>
      <c r="G6" s="6" t="s">
        <v>9</v>
      </c>
      <c r="H6" s="64">
        <v>58.2</v>
      </c>
      <c r="I6" s="64">
        <v>58.2</v>
      </c>
      <c r="J6" s="64">
        <v>1.7763568394002505E-15</v>
      </c>
    </row>
    <row r="7" spans="1:10" ht="15.6" customHeight="1" x14ac:dyDescent="0.3">
      <c r="A7" s="6" t="s">
        <v>62</v>
      </c>
      <c r="B7" s="64">
        <v>135.5</v>
      </c>
      <c r="C7" s="64">
        <v>101.5</v>
      </c>
      <c r="D7" s="64">
        <v>34</v>
      </c>
      <c r="E7" s="3"/>
      <c r="G7"/>
      <c r="H7"/>
      <c r="I7"/>
      <c r="J7"/>
    </row>
    <row r="8" spans="1:10" ht="15.6" customHeight="1" x14ac:dyDescent="0.3">
      <c r="A8" s="6" t="s">
        <v>9</v>
      </c>
      <c r="B8" s="64">
        <v>415.5</v>
      </c>
      <c r="C8" s="64">
        <v>361.5</v>
      </c>
      <c r="D8" s="64">
        <v>54</v>
      </c>
      <c r="G8"/>
      <c r="H8"/>
      <c r="I8"/>
      <c r="J8"/>
    </row>
    <row r="9" spans="1:10" ht="15.6" customHeight="1" x14ac:dyDescent="0.3">
      <c r="A9"/>
      <c r="B9"/>
      <c r="C9"/>
      <c r="G9"/>
      <c r="H9"/>
      <c r="I9"/>
      <c r="J9"/>
    </row>
    <row r="10" spans="1:10" ht="15.6" customHeight="1" x14ac:dyDescent="0.3">
      <c r="A10"/>
      <c r="B10"/>
      <c r="C10"/>
    </row>
    <row r="11" spans="1:10" ht="15.6" customHeight="1" x14ac:dyDescent="0.3">
      <c r="A11"/>
      <c r="B11"/>
      <c r="C11"/>
    </row>
    <row r="12" spans="1:10" ht="15.6" customHeight="1" x14ac:dyDescent="0.3">
      <c r="A12"/>
      <c r="B12"/>
      <c r="C12"/>
    </row>
    <row r="13" spans="1:10" ht="15.6" customHeight="1" x14ac:dyDescent="0.3">
      <c r="A13"/>
      <c r="B13"/>
      <c r="C13"/>
    </row>
    <row r="14" spans="1:10" ht="15.6" customHeight="1" x14ac:dyDescent="0.3">
      <c r="A14"/>
      <c r="B14"/>
      <c r="C14"/>
    </row>
    <row r="15" spans="1:10" ht="15.6" customHeight="1" x14ac:dyDescent="0.3">
      <c r="A15"/>
      <c r="B15"/>
      <c r="C15"/>
    </row>
    <row r="16" spans="1:10" ht="15.6" customHeight="1" x14ac:dyDescent="0.3">
      <c r="A16"/>
      <c r="B16"/>
      <c r="C16"/>
    </row>
    <row r="17" spans="1:3" ht="15.6" customHeight="1" x14ac:dyDescent="0.3">
      <c r="A17"/>
      <c r="B17"/>
      <c r="C17"/>
    </row>
    <row r="18" spans="1:3" ht="15.6" customHeight="1" x14ac:dyDescent="0.3">
      <c r="A18"/>
      <c r="B18"/>
      <c r="C18"/>
    </row>
    <row r="19" spans="1:3" ht="15.6" customHeight="1" x14ac:dyDescent="0.3">
      <c r="A19"/>
      <c r="B19"/>
      <c r="C19"/>
    </row>
    <row r="20" spans="1:3" ht="15.6" customHeight="1" x14ac:dyDescent="0.3">
      <c r="A20"/>
      <c r="B20"/>
      <c r="C20"/>
    </row>
    <row r="21" spans="1:3" ht="15.6" customHeight="1" x14ac:dyDescent="0.3">
      <c r="A21"/>
      <c r="B21"/>
      <c r="C21"/>
    </row>
    <row r="22" spans="1:3" ht="15.6" customHeight="1" x14ac:dyDescent="0.3"/>
    <row r="23" spans="1:3" ht="15.6" customHeight="1" x14ac:dyDescent="0.3"/>
    <row r="24" spans="1:3" ht="15.6" customHeight="1" x14ac:dyDescent="0.3"/>
    <row r="25" spans="1:3" ht="15.6" customHeight="1" x14ac:dyDescent="0.3"/>
    <row r="26" spans="1:3" ht="15.6" customHeight="1" x14ac:dyDescent="0.3"/>
    <row r="27" spans="1:3" ht="15.6" customHeight="1" x14ac:dyDescent="0.3"/>
    <row r="28" spans="1:3" ht="15.6" customHeight="1" x14ac:dyDescent="0.3"/>
    <row r="29" spans="1:3" ht="15.6" customHeight="1" x14ac:dyDescent="0.3"/>
    <row r="30" spans="1:3" ht="15.6" customHeight="1" x14ac:dyDescent="0.3"/>
    <row r="31" spans="1:3" ht="15.6" customHeight="1" x14ac:dyDescent="0.3"/>
    <row r="32" spans="1:3" ht="15.6" customHeight="1" x14ac:dyDescent="0.3"/>
    <row r="33" ht="15.6" customHeight="1" x14ac:dyDescent="0.3"/>
    <row r="34" ht="15.6" customHeight="1" x14ac:dyDescent="0.3"/>
    <row r="35" ht="15.6" customHeight="1" x14ac:dyDescent="0.3"/>
    <row r="36" ht="15.6" customHeight="1" x14ac:dyDescent="0.3"/>
    <row r="37" ht="15.6" customHeight="1" x14ac:dyDescent="0.3"/>
    <row r="38" ht="15.6" customHeight="1" x14ac:dyDescent="0.3"/>
    <row r="39" ht="15.6" customHeight="1" x14ac:dyDescent="0.3"/>
    <row r="40" ht="15.6" customHeight="1" x14ac:dyDescent="0.3"/>
    <row r="41" ht="15.6" customHeight="1" x14ac:dyDescent="0.3"/>
    <row r="42" ht="15.6" customHeight="1" x14ac:dyDescent="0.3"/>
    <row r="43" ht="15.6" customHeight="1" x14ac:dyDescent="0.3"/>
    <row r="44" ht="15.6" customHeight="1" x14ac:dyDescent="0.3"/>
    <row r="45" ht="15.6" customHeight="1" x14ac:dyDescent="0.3"/>
    <row r="46" ht="15.6" customHeight="1" x14ac:dyDescent="0.3"/>
    <row r="47" ht="15.6" customHeight="1" x14ac:dyDescent="0.3"/>
    <row r="48" ht="15.6" customHeight="1" x14ac:dyDescent="0.3"/>
    <row r="49" ht="15.6" customHeight="1" x14ac:dyDescent="0.3"/>
    <row r="50" ht="15.6" customHeight="1" x14ac:dyDescent="0.3"/>
    <row r="51" ht="15.6" customHeight="1" x14ac:dyDescent="0.3"/>
    <row r="52" ht="15.6" customHeight="1" x14ac:dyDescent="0.3"/>
    <row r="53" ht="15.6" customHeight="1" x14ac:dyDescent="0.3"/>
    <row r="54" ht="15.6" customHeight="1" x14ac:dyDescent="0.3"/>
    <row r="55" ht="15.6" customHeight="1" x14ac:dyDescent="0.3"/>
    <row r="56" ht="15.6" customHeight="1" x14ac:dyDescent="0.3"/>
    <row r="57" ht="15.6" customHeight="1" x14ac:dyDescent="0.3"/>
    <row r="58" ht="15.6" customHeight="1" x14ac:dyDescent="0.3"/>
    <row r="59" ht="15.6" customHeight="1" x14ac:dyDescent="0.3"/>
    <row r="60" ht="15.6" customHeight="1" x14ac:dyDescent="0.3"/>
    <row r="61" ht="15.6" customHeight="1" x14ac:dyDescent="0.3"/>
    <row r="62" ht="15.6" customHeight="1" x14ac:dyDescent="0.3"/>
    <row r="63" ht="15.6" customHeight="1" x14ac:dyDescent="0.3"/>
    <row r="64" ht="15.6" customHeight="1" x14ac:dyDescent="0.3"/>
    <row r="65" ht="15.6" customHeight="1" x14ac:dyDescent="0.3"/>
    <row r="66" ht="15.6" customHeight="1" x14ac:dyDescent="0.3"/>
    <row r="67" ht="15.6" customHeight="1" x14ac:dyDescent="0.3"/>
    <row r="68" ht="15.6" customHeight="1" x14ac:dyDescent="0.3"/>
    <row r="69" ht="15.6" customHeight="1" x14ac:dyDescent="0.3"/>
    <row r="70" ht="15.6" customHeight="1" x14ac:dyDescent="0.3"/>
    <row r="71" ht="15.6" customHeight="1" x14ac:dyDescent="0.3"/>
    <row r="72" ht="15.6" customHeight="1" x14ac:dyDescent="0.3"/>
    <row r="73" ht="15.6" customHeight="1" x14ac:dyDescent="0.3"/>
    <row r="74" ht="15.6" customHeight="1" x14ac:dyDescent="0.3"/>
    <row r="75" ht="15.6" customHeight="1" x14ac:dyDescent="0.3"/>
    <row r="76" ht="15.6" customHeight="1" x14ac:dyDescent="0.3"/>
    <row r="77" ht="15.6" customHeight="1" x14ac:dyDescent="0.3"/>
    <row r="78" ht="15.6" customHeight="1" x14ac:dyDescent="0.3"/>
    <row r="79" ht="15.6" customHeight="1" x14ac:dyDescent="0.3"/>
    <row r="80" ht="15.6" customHeight="1" x14ac:dyDescent="0.3"/>
    <row r="81" ht="15.6" customHeight="1" x14ac:dyDescent="0.3"/>
    <row r="82" ht="15.6" customHeight="1" x14ac:dyDescent="0.3"/>
    <row r="83" ht="15.6" customHeight="1" x14ac:dyDescent="0.3"/>
    <row r="84" ht="15.6" customHeight="1" x14ac:dyDescent="0.3"/>
    <row r="85" ht="15.6" customHeight="1" x14ac:dyDescent="0.3"/>
    <row r="86" ht="15.6" customHeight="1" x14ac:dyDescent="0.3"/>
    <row r="87" ht="15.6" customHeight="1" x14ac:dyDescent="0.3"/>
    <row r="88" ht="15.6" customHeight="1" x14ac:dyDescent="0.3"/>
    <row r="89" ht="15.6" customHeight="1" x14ac:dyDescent="0.3"/>
    <row r="90" ht="15.6" customHeight="1" x14ac:dyDescent="0.3"/>
    <row r="91" ht="15.6" customHeight="1" x14ac:dyDescent="0.3"/>
    <row r="92" ht="15.6" customHeight="1" x14ac:dyDescent="0.3"/>
    <row r="93" ht="15.6" customHeight="1" x14ac:dyDescent="0.3"/>
    <row r="94" ht="15.6" customHeight="1" x14ac:dyDescent="0.3"/>
    <row r="95" ht="15.6" customHeight="1" x14ac:dyDescent="0.3"/>
    <row r="96" ht="15.6" customHeight="1" x14ac:dyDescent="0.3"/>
    <row r="97" ht="15.6" customHeight="1" x14ac:dyDescent="0.3"/>
    <row r="98" ht="15.6" customHeight="1" x14ac:dyDescent="0.3"/>
    <row r="99" ht="15.6" customHeight="1" x14ac:dyDescent="0.3"/>
    <row r="100" ht="15.6" customHeight="1" x14ac:dyDescent="0.3"/>
    <row r="101" ht="15.6" customHeight="1" x14ac:dyDescent="0.3"/>
    <row r="102" ht="15.6" customHeight="1" x14ac:dyDescent="0.3"/>
    <row r="103" ht="15.6" customHeight="1" x14ac:dyDescent="0.3"/>
    <row r="104" ht="15.6" customHeight="1" x14ac:dyDescent="0.3"/>
    <row r="105" ht="15.6" customHeight="1" x14ac:dyDescent="0.3"/>
    <row r="106" ht="15.6" customHeight="1" x14ac:dyDescent="0.3"/>
    <row r="107" ht="15.6" customHeight="1" x14ac:dyDescent="0.3"/>
    <row r="108" ht="15.6" customHeight="1" x14ac:dyDescent="0.3"/>
    <row r="109" ht="15.6" customHeight="1" x14ac:dyDescent="0.3"/>
    <row r="110" ht="15.6" customHeight="1" x14ac:dyDescent="0.3"/>
    <row r="111" ht="15.6" customHeight="1" x14ac:dyDescent="0.3"/>
    <row r="112" ht="15.6" customHeight="1" x14ac:dyDescent="0.3"/>
    <row r="113" ht="15.6" customHeight="1" x14ac:dyDescent="0.3"/>
    <row r="114" ht="15.6" customHeight="1" x14ac:dyDescent="0.3"/>
    <row r="115" ht="15.6" customHeight="1" x14ac:dyDescent="0.3"/>
    <row r="116" ht="15.6" customHeight="1" x14ac:dyDescent="0.3"/>
    <row r="117" ht="15.6" customHeight="1" x14ac:dyDescent="0.3"/>
    <row r="118" ht="15.6" customHeight="1" x14ac:dyDescent="0.3"/>
    <row r="119" ht="15.6" customHeight="1" x14ac:dyDescent="0.3"/>
    <row r="120" ht="15.6" customHeight="1" x14ac:dyDescent="0.3"/>
    <row r="121" ht="15.6" customHeight="1" x14ac:dyDescent="0.3"/>
    <row r="122" ht="15.6" customHeight="1" x14ac:dyDescent="0.3"/>
    <row r="123" ht="15.6" customHeight="1" x14ac:dyDescent="0.3"/>
    <row r="124" ht="15.6" customHeight="1" x14ac:dyDescent="0.3"/>
    <row r="125" ht="15.6" customHeight="1" x14ac:dyDescent="0.3"/>
    <row r="126" ht="15.6" customHeight="1" x14ac:dyDescent="0.3"/>
    <row r="127" ht="15.6" customHeight="1" x14ac:dyDescent="0.3"/>
    <row r="128" ht="15.6" customHeight="1" x14ac:dyDescent="0.3"/>
    <row r="129" ht="15.6" customHeight="1" x14ac:dyDescent="0.3"/>
    <row r="130" ht="15.6" customHeight="1" x14ac:dyDescent="0.3"/>
    <row r="131" ht="15.6" customHeight="1" x14ac:dyDescent="0.3"/>
    <row r="132" ht="15.6" customHeight="1" x14ac:dyDescent="0.3"/>
    <row r="133" ht="15.6" customHeight="1" x14ac:dyDescent="0.3"/>
    <row r="134" ht="15.6" customHeight="1" x14ac:dyDescent="0.3"/>
    <row r="135" ht="15.6" customHeight="1" x14ac:dyDescent="0.3"/>
    <row r="136" ht="15.6" customHeight="1" x14ac:dyDescent="0.3"/>
    <row r="137" ht="15.6" customHeight="1" x14ac:dyDescent="0.3"/>
    <row r="138" ht="15.6" customHeight="1" x14ac:dyDescent="0.3"/>
    <row r="139" ht="15.6" customHeight="1" x14ac:dyDescent="0.3"/>
    <row r="140" ht="15.6" customHeight="1" x14ac:dyDescent="0.3"/>
    <row r="141" ht="15.6" customHeight="1" x14ac:dyDescent="0.3"/>
    <row r="142" ht="15.6" customHeight="1" x14ac:dyDescent="0.3"/>
    <row r="143" ht="15.6" customHeight="1" x14ac:dyDescent="0.3"/>
    <row r="144" ht="15.6" customHeight="1" x14ac:dyDescent="0.3"/>
    <row r="145" ht="15.6" customHeight="1" x14ac:dyDescent="0.3"/>
    <row r="146" ht="15.6" customHeight="1" x14ac:dyDescent="0.3"/>
    <row r="147" ht="15.6" customHeight="1" x14ac:dyDescent="0.3"/>
    <row r="148" ht="15.6" customHeight="1" x14ac:dyDescent="0.3"/>
    <row r="149" ht="15.6" customHeight="1" x14ac:dyDescent="0.3"/>
    <row r="150" ht="15.6" customHeight="1" x14ac:dyDescent="0.3"/>
    <row r="151" ht="15.6" customHeight="1" x14ac:dyDescent="0.3"/>
    <row r="152" ht="15.6" customHeight="1" x14ac:dyDescent="0.3"/>
    <row r="153" ht="15.6" customHeight="1" x14ac:dyDescent="0.3"/>
    <row r="154" ht="15.6" customHeight="1" x14ac:dyDescent="0.3"/>
    <row r="155" ht="15.6" customHeight="1" x14ac:dyDescent="0.3"/>
    <row r="156" ht="15.6" customHeight="1" x14ac:dyDescent="0.3"/>
    <row r="157" ht="15.6" customHeight="1" x14ac:dyDescent="0.3"/>
    <row r="158" ht="15.6" customHeight="1" x14ac:dyDescent="0.3"/>
    <row r="159" ht="15.6" customHeight="1" x14ac:dyDescent="0.3"/>
    <row r="160" ht="15.6" customHeight="1" x14ac:dyDescent="0.3"/>
    <row r="161" ht="15.6" customHeight="1" x14ac:dyDescent="0.3"/>
    <row r="162" ht="15.6" customHeight="1" x14ac:dyDescent="0.3"/>
    <row r="163" ht="15.6" customHeight="1" x14ac:dyDescent="0.3"/>
    <row r="164" ht="15.6" customHeight="1" x14ac:dyDescent="0.3"/>
    <row r="165" ht="15.6" customHeight="1" x14ac:dyDescent="0.3"/>
    <row r="166" ht="15.6" customHeight="1" x14ac:dyDescent="0.3"/>
    <row r="167" ht="15.6" customHeight="1" x14ac:dyDescent="0.3"/>
    <row r="168" ht="15.6" customHeight="1" x14ac:dyDescent="0.3"/>
    <row r="169" ht="15.6" customHeight="1" x14ac:dyDescent="0.3"/>
    <row r="170" ht="15.6" customHeight="1" x14ac:dyDescent="0.3"/>
    <row r="171" ht="15.6" customHeight="1" x14ac:dyDescent="0.3"/>
    <row r="172" ht="15.6" customHeight="1" x14ac:dyDescent="0.3"/>
    <row r="173" ht="15.6" customHeight="1" x14ac:dyDescent="0.3"/>
    <row r="174" ht="15.6" customHeight="1" x14ac:dyDescent="0.3"/>
    <row r="175" ht="15.6" customHeight="1" x14ac:dyDescent="0.3"/>
    <row r="176" ht="15.6" customHeight="1" x14ac:dyDescent="0.3"/>
    <row r="177" ht="15.6" customHeight="1" x14ac:dyDescent="0.3"/>
    <row r="178" ht="15.6" customHeight="1" x14ac:dyDescent="0.3"/>
    <row r="179" ht="15.6" customHeight="1" x14ac:dyDescent="0.3"/>
    <row r="180" ht="15.6" customHeight="1" x14ac:dyDescent="0.3"/>
    <row r="181" ht="15.6" customHeight="1" x14ac:dyDescent="0.3"/>
    <row r="182" ht="15.6" customHeight="1" x14ac:dyDescent="0.3"/>
    <row r="183" ht="15.6" customHeight="1" x14ac:dyDescent="0.3"/>
    <row r="184" ht="15.6" customHeight="1" x14ac:dyDescent="0.3"/>
    <row r="185" ht="15.6" customHeight="1" x14ac:dyDescent="0.3"/>
    <row r="186" ht="15.6" customHeight="1" x14ac:dyDescent="0.3"/>
    <row r="187" ht="15.6" customHeight="1" x14ac:dyDescent="0.3"/>
    <row r="188" ht="15.6" customHeight="1" x14ac:dyDescent="0.3"/>
    <row r="189" ht="15.6" customHeight="1" x14ac:dyDescent="0.3"/>
    <row r="190" ht="15.6" customHeight="1" x14ac:dyDescent="0.3"/>
    <row r="191" ht="15.6" customHeight="1" x14ac:dyDescent="0.3"/>
    <row r="192" ht="15.6" customHeight="1" x14ac:dyDescent="0.3"/>
    <row r="193" ht="15.6" customHeight="1" x14ac:dyDescent="0.3"/>
    <row r="194" ht="15.6" customHeight="1" x14ac:dyDescent="0.3"/>
    <row r="195" ht="15.6" customHeight="1" x14ac:dyDescent="0.3"/>
    <row r="196" ht="15.6" customHeight="1" x14ac:dyDescent="0.3"/>
    <row r="197" ht="15.6" customHeight="1" x14ac:dyDescent="0.3"/>
    <row r="198" ht="15.6" customHeight="1" x14ac:dyDescent="0.3"/>
    <row r="199" ht="15.6" customHeight="1" x14ac:dyDescent="0.3"/>
    <row r="200" ht="15.6" customHeight="1" x14ac:dyDescent="0.3"/>
    <row r="201" ht="15.6" customHeight="1" x14ac:dyDescent="0.3"/>
    <row r="202" ht="15.6" customHeight="1" x14ac:dyDescent="0.3"/>
    <row r="203" ht="15.6" customHeight="1" x14ac:dyDescent="0.3"/>
    <row r="204" ht="15.6" customHeight="1" x14ac:dyDescent="0.3"/>
    <row r="205" ht="15.6" customHeight="1" x14ac:dyDescent="0.3"/>
    <row r="206" ht="15.6" customHeight="1" x14ac:dyDescent="0.3"/>
    <row r="207" ht="15.6" customHeight="1" x14ac:dyDescent="0.3"/>
    <row r="208" ht="15.6" customHeight="1" x14ac:dyDescent="0.3"/>
    <row r="209" ht="15.6" customHeight="1" x14ac:dyDescent="0.3"/>
    <row r="210" ht="15.6" customHeight="1" x14ac:dyDescent="0.3"/>
    <row r="211" ht="15.6" customHeight="1" x14ac:dyDescent="0.3"/>
    <row r="212" ht="15.6" customHeight="1" x14ac:dyDescent="0.3"/>
    <row r="213" ht="15.6" customHeight="1" x14ac:dyDescent="0.3"/>
    <row r="214" ht="15.6" customHeight="1" x14ac:dyDescent="0.3"/>
    <row r="215" ht="15.6" customHeight="1" x14ac:dyDescent="0.3"/>
    <row r="216" ht="15.6" customHeight="1" x14ac:dyDescent="0.3"/>
    <row r="217" ht="15.6" customHeight="1" x14ac:dyDescent="0.3"/>
    <row r="218" ht="15.6" customHeight="1" x14ac:dyDescent="0.3"/>
    <row r="219" ht="15.6" customHeight="1" x14ac:dyDescent="0.3"/>
    <row r="220" ht="15.6" customHeight="1" x14ac:dyDescent="0.3"/>
    <row r="221" ht="15.6" customHeight="1" x14ac:dyDescent="0.3"/>
    <row r="222" ht="15.6" customHeight="1" x14ac:dyDescent="0.3"/>
    <row r="223" ht="15.6" customHeight="1" x14ac:dyDescent="0.3"/>
    <row r="224" ht="15.6" customHeight="1" x14ac:dyDescent="0.3"/>
    <row r="225" ht="15.6" customHeight="1" x14ac:dyDescent="0.3"/>
    <row r="226" ht="15.6" customHeight="1" x14ac:dyDescent="0.3"/>
    <row r="227" ht="15.6" customHeight="1" x14ac:dyDescent="0.3"/>
    <row r="228" ht="15.6" customHeight="1" x14ac:dyDescent="0.3"/>
    <row r="229" ht="15.6" customHeight="1" x14ac:dyDescent="0.3"/>
    <row r="230" ht="15.6" customHeight="1" x14ac:dyDescent="0.3"/>
    <row r="231" ht="15.6" customHeight="1" x14ac:dyDescent="0.3"/>
    <row r="232" ht="15.6" customHeight="1" x14ac:dyDescent="0.3"/>
    <row r="233" ht="15.6" customHeight="1" x14ac:dyDescent="0.3"/>
    <row r="234" ht="15.6" customHeight="1" x14ac:dyDescent="0.3"/>
    <row r="235" ht="15.6" customHeight="1" x14ac:dyDescent="0.3"/>
    <row r="236" ht="15.6" customHeight="1" x14ac:dyDescent="0.3"/>
    <row r="237" ht="15.6" customHeight="1" x14ac:dyDescent="0.3"/>
    <row r="238" ht="15.6" customHeight="1" x14ac:dyDescent="0.3"/>
    <row r="239" ht="15.6" customHeight="1" x14ac:dyDescent="0.3"/>
    <row r="240" ht="15.6" customHeight="1" x14ac:dyDescent="0.3"/>
    <row r="241" ht="15.6" customHeight="1" x14ac:dyDescent="0.3"/>
    <row r="242" ht="15.6" customHeight="1" x14ac:dyDescent="0.3"/>
    <row r="243" ht="15.6" customHeight="1" x14ac:dyDescent="0.3"/>
    <row r="244" ht="15.6" customHeight="1" x14ac:dyDescent="0.3"/>
    <row r="245" ht="15.6" customHeight="1" x14ac:dyDescent="0.3"/>
    <row r="246" ht="15.6" customHeight="1" x14ac:dyDescent="0.3"/>
    <row r="247" ht="15.6" customHeight="1" x14ac:dyDescent="0.3"/>
    <row r="248" ht="15.6" customHeight="1" x14ac:dyDescent="0.3"/>
    <row r="249" ht="15.6" customHeight="1" x14ac:dyDescent="0.3"/>
    <row r="250" ht="15.6" customHeight="1" x14ac:dyDescent="0.3"/>
    <row r="251" ht="15.6" customHeight="1" x14ac:dyDescent="0.3"/>
    <row r="252" ht="15.6" customHeight="1" x14ac:dyDescent="0.3"/>
    <row r="253" ht="15.6" customHeight="1" x14ac:dyDescent="0.3"/>
    <row r="254" ht="15.6" customHeight="1" x14ac:dyDescent="0.3"/>
    <row r="255" ht="15.6" customHeight="1" x14ac:dyDescent="0.3"/>
    <row r="256" ht="15.6" customHeight="1" x14ac:dyDescent="0.3"/>
    <row r="257" ht="15.6" customHeight="1" x14ac:dyDescent="0.3"/>
    <row r="258" ht="15.6" customHeight="1" x14ac:dyDescent="0.3"/>
    <row r="259" ht="15.6" customHeight="1" x14ac:dyDescent="0.3"/>
    <row r="260" ht="15.6" customHeight="1" x14ac:dyDescent="0.3"/>
    <row r="261" ht="15.6" customHeight="1" x14ac:dyDescent="0.3"/>
    <row r="262" ht="15.6" customHeight="1" x14ac:dyDescent="0.3"/>
    <row r="263" ht="15.6" customHeight="1" x14ac:dyDescent="0.3"/>
    <row r="264" ht="15.6" customHeight="1" x14ac:dyDescent="0.3"/>
    <row r="265" ht="15.6" customHeight="1" x14ac:dyDescent="0.3"/>
    <row r="266" ht="15.6" customHeight="1" x14ac:dyDescent="0.3"/>
    <row r="267" ht="15.6" customHeight="1" x14ac:dyDescent="0.3"/>
    <row r="268" ht="15.6" customHeight="1" x14ac:dyDescent="0.3"/>
    <row r="269" ht="15.6" customHeight="1" x14ac:dyDescent="0.3"/>
    <row r="270" ht="15.6" customHeight="1" x14ac:dyDescent="0.3"/>
    <row r="271" ht="15.6" customHeight="1" x14ac:dyDescent="0.3"/>
    <row r="272" ht="15.6" customHeight="1" x14ac:dyDescent="0.3"/>
    <row r="273" ht="15.6" customHeight="1" x14ac:dyDescent="0.3"/>
    <row r="274" ht="15.6" customHeight="1" x14ac:dyDescent="0.3"/>
    <row r="275" ht="15.6" customHeight="1" x14ac:dyDescent="0.3"/>
    <row r="276" ht="15.6" customHeight="1" x14ac:dyDescent="0.3"/>
    <row r="277" ht="15.6" customHeight="1" x14ac:dyDescent="0.3"/>
    <row r="278" ht="15.6" customHeight="1" x14ac:dyDescent="0.3"/>
    <row r="279" ht="15.6" customHeight="1" x14ac:dyDescent="0.3"/>
    <row r="280" ht="15.6" customHeight="1" x14ac:dyDescent="0.3"/>
    <row r="281" ht="15.6" customHeight="1" x14ac:dyDescent="0.3"/>
    <row r="282" ht="15.6" customHeight="1" x14ac:dyDescent="0.3"/>
    <row r="283" ht="15.6" customHeight="1" x14ac:dyDescent="0.3"/>
    <row r="284" ht="15.6" customHeight="1" x14ac:dyDescent="0.3"/>
    <row r="285" ht="15.6" customHeight="1" x14ac:dyDescent="0.3"/>
    <row r="286" ht="15.6" customHeight="1" x14ac:dyDescent="0.3"/>
    <row r="287" ht="15.6" customHeight="1" x14ac:dyDescent="0.3"/>
    <row r="288" ht="15.6" customHeight="1" x14ac:dyDescent="0.3"/>
    <row r="289" ht="15.6" customHeight="1" x14ac:dyDescent="0.3"/>
    <row r="290" ht="15.6" customHeight="1" x14ac:dyDescent="0.3"/>
    <row r="291" ht="15.6" customHeight="1" x14ac:dyDescent="0.3"/>
    <row r="292" ht="15.6" customHeight="1" x14ac:dyDescent="0.3"/>
    <row r="293" ht="15.6" customHeight="1" x14ac:dyDescent="0.3"/>
    <row r="294" ht="15.6" customHeight="1" x14ac:dyDescent="0.3"/>
    <row r="295" ht="15.6" customHeight="1" x14ac:dyDescent="0.3"/>
    <row r="296" ht="15.6" customHeight="1" x14ac:dyDescent="0.3"/>
    <row r="297" ht="15.6" customHeight="1" x14ac:dyDescent="0.3"/>
    <row r="298" ht="15.6" customHeight="1" x14ac:dyDescent="0.3"/>
    <row r="299" ht="15.6" customHeight="1" x14ac:dyDescent="0.3"/>
    <row r="300" ht="15.6" customHeight="1" x14ac:dyDescent="0.3"/>
    <row r="301" ht="15.6" customHeight="1" x14ac:dyDescent="0.3"/>
    <row r="302" ht="15.6" customHeight="1" x14ac:dyDescent="0.3"/>
    <row r="303" ht="15.6" customHeight="1" x14ac:dyDescent="0.3"/>
    <row r="304" ht="15.6" customHeight="1" x14ac:dyDescent="0.3"/>
    <row r="305" ht="15.6" customHeight="1" x14ac:dyDescent="0.3"/>
    <row r="306" ht="15.6" customHeight="1" x14ac:dyDescent="0.3"/>
    <row r="307" ht="15.6" customHeight="1" x14ac:dyDescent="0.3"/>
    <row r="308" ht="15.6" customHeight="1" x14ac:dyDescent="0.3"/>
    <row r="309" ht="15.6" customHeight="1" x14ac:dyDescent="0.3"/>
    <row r="310" ht="15.6" customHeight="1" x14ac:dyDescent="0.3"/>
    <row r="311" ht="15.6" customHeight="1" x14ac:dyDescent="0.3"/>
    <row r="312" ht="15.6" customHeight="1" x14ac:dyDescent="0.3"/>
    <row r="313" ht="15.6" customHeight="1" x14ac:dyDescent="0.3"/>
    <row r="314" ht="15.6" customHeight="1" x14ac:dyDescent="0.3"/>
    <row r="315" ht="15.6" customHeight="1" x14ac:dyDescent="0.3"/>
    <row r="316" ht="15.6" customHeight="1" x14ac:dyDescent="0.3"/>
    <row r="317" ht="15.6" customHeight="1" x14ac:dyDescent="0.3"/>
    <row r="318" ht="15.6" customHeight="1" x14ac:dyDescent="0.3"/>
    <row r="319" ht="15.6" customHeight="1" x14ac:dyDescent="0.3"/>
    <row r="320" ht="15.6" customHeight="1" x14ac:dyDescent="0.3"/>
    <row r="321" ht="15.6" customHeight="1" x14ac:dyDescent="0.3"/>
    <row r="322" ht="15.6" customHeight="1" x14ac:dyDescent="0.3"/>
    <row r="323" ht="15.6" customHeight="1" x14ac:dyDescent="0.3"/>
    <row r="324" ht="15.6" customHeight="1" x14ac:dyDescent="0.3"/>
    <row r="325" ht="15.6" customHeight="1" x14ac:dyDescent="0.3"/>
    <row r="326" ht="15.6" customHeight="1" x14ac:dyDescent="0.3"/>
    <row r="327" ht="15.6" customHeight="1" x14ac:dyDescent="0.3"/>
    <row r="328" ht="15.6" customHeight="1" x14ac:dyDescent="0.3"/>
    <row r="329" ht="15.6" customHeight="1" x14ac:dyDescent="0.3"/>
    <row r="330" ht="15.6" customHeight="1" x14ac:dyDescent="0.3"/>
    <row r="331" ht="15.6" customHeight="1" x14ac:dyDescent="0.3"/>
    <row r="332" ht="15.6" customHeight="1" x14ac:dyDescent="0.3"/>
    <row r="333" ht="15.6" customHeight="1" x14ac:dyDescent="0.3"/>
    <row r="334" ht="15.6" customHeight="1" x14ac:dyDescent="0.3"/>
    <row r="335" ht="15.6" customHeight="1" x14ac:dyDescent="0.3"/>
    <row r="336" ht="15.6" customHeight="1" x14ac:dyDescent="0.3"/>
    <row r="337" ht="15.6" customHeight="1" x14ac:dyDescent="0.3"/>
    <row r="338" ht="15.6" customHeight="1" x14ac:dyDescent="0.3"/>
    <row r="339" ht="15.6" customHeight="1" x14ac:dyDescent="0.3"/>
    <row r="340" ht="15.6" customHeight="1" x14ac:dyDescent="0.3"/>
    <row r="341" ht="15.6" customHeight="1" x14ac:dyDescent="0.3"/>
    <row r="342" ht="15.6" customHeight="1" x14ac:dyDescent="0.3"/>
    <row r="343" ht="15.6" customHeight="1" x14ac:dyDescent="0.3"/>
    <row r="344" ht="15.6" customHeight="1" x14ac:dyDescent="0.3"/>
    <row r="345" ht="15.6" customHeight="1" x14ac:dyDescent="0.3"/>
    <row r="346" ht="15.6" customHeight="1" x14ac:dyDescent="0.3"/>
    <row r="347" ht="15.6" customHeight="1" x14ac:dyDescent="0.3"/>
    <row r="348" ht="15.6" customHeight="1" x14ac:dyDescent="0.3"/>
    <row r="349" ht="15.6" customHeight="1" x14ac:dyDescent="0.3"/>
    <row r="350" ht="15.6" customHeight="1" x14ac:dyDescent="0.3"/>
    <row r="351" ht="15.6" customHeight="1" x14ac:dyDescent="0.3"/>
    <row r="352" ht="15.6" customHeight="1" x14ac:dyDescent="0.3"/>
    <row r="353" ht="15.6" customHeight="1" x14ac:dyDescent="0.3"/>
    <row r="354" ht="15.6" customHeight="1" x14ac:dyDescent="0.3"/>
    <row r="355" ht="15.6" customHeight="1" x14ac:dyDescent="0.3"/>
    <row r="356" ht="15.6" customHeight="1" x14ac:dyDescent="0.3"/>
    <row r="357" ht="15.6" customHeight="1" x14ac:dyDescent="0.3"/>
    <row r="358" ht="15.6" customHeight="1" x14ac:dyDescent="0.3"/>
    <row r="359" ht="15.6" customHeight="1" x14ac:dyDescent="0.3"/>
    <row r="360" ht="15.6" customHeight="1" x14ac:dyDescent="0.3"/>
    <row r="361" ht="15.6" customHeight="1" x14ac:dyDescent="0.3"/>
    <row r="362" ht="15.6" customHeight="1" x14ac:dyDescent="0.3"/>
    <row r="363" ht="15.6" customHeight="1" x14ac:dyDescent="0.3"/>
    <row r="364" ht="15.6" customHeight="1" x14ac:dyDescent="0.3"/>
    <row r="365" ht="15.6" customHeight="1" x14ac:dyDescent="0.3"/>
    <row r="366" ht="15.6" customHeight="1" x14ac:dyDescent="0.3"/>
    <row r="367" ht="15.6" customHeight="1" x14ac:dyDescent="0.3"/>
    <row r="368" ht="15.6" customHeight="1" x14ac:dyDescent="0.3"/>
    <row r="369" ht="15.6" customHeight="1" x14ac:dyDescent="0.3"/>
    <row r="370" ht="15.6" customHeight="1" x14ac:dyDescent="0.3"/>
    <row r="371" ht="15.6" customHeight="1" x14ac:dyDescent="0.3"/>
    <row r="372" ht="15.6" customHeight="1" x14ac:dyDescent="0.3"/>
    <row r="373" ht="15.6" customHeight="1" x14ac:dyDescent="0.3"/>
    <row r="374" ht="15.6" customHeight="1" x14ac:dyDescent="0.3"/>
    <row r="375" ht="15.6" customHeight="1" x14ac:dyDescent="0.3"/>
    <row r="376" ht="15.6" customHeight="1" x14ac:dyDescent="0.3"/>
    <row r="377" ht="15.6" customHeight="1" x14ac:dyDescent="0.3"/>
    <row r="378" ht="15.6" customHeight="1" x14ac:dyDescent="0.3"/>
    <row r="379" ht="15.6" customHeight="1" x14ac:dyDescent="0.3"/>
    <row r="380" ht="15.6" customHeight="1" x14ac:dyDescent="0.3"/>
    <row r="381" ht="15.6" customHeight="1" x14ac:dyDescent="0.3"/>
    <row r="382" ht="15.6" customHeight="1" x14ac:dyDescent="0.3"/>
    <row r="383" ht="15.6" customHeight="1" x14ac:dyDescent="0.3"/>
    <row r="384" ht="15.6" customHeight="1" x14ac:dyDescent="0.3"/>
    <row r="385" ht="15.6" customHeight="1" x14ac:dyDescent="0.3"/>
    <row r="386" ht="15.6" customHeight="1" x14ac:dyDescent="0.3"/>
    <row r="387" ht="15.6" customHeight="1" x14ac:dyDescent="0.3"/>
    <row r="388" ht="15.6" customHeight="1" x14ac:dyDescent="0.3"/>
    <row r="389" ht="15.6" customHeight="1" x14ac:dyDescent="0.3"/>
    <row r="390" ht="15.6" customHeight="1" x14ac:dyDescent="0.3"/>
    <row r="391" ht="15.6" customHeight="1" x14ac:dyDescent="0.3"/>
    <row r="392" ht="15.6" customHeight="1" x14ac:dyDescent="0.3"/>
    <row r="393" ht="15.6" customHeight="1" x14ac:dyDescent="0.3"/>
    <row r="394" ht="15.6" customHeight="1" x14ac:dyDescent="0.3"/>
    <row r="395" ht="15.6" customHeight="1" x14ac:dyDescent="0.3"/>
    <row r="396" ht="15.6" customHeight="1" x14ac:dyDescent="0.3"/>
    <row r="397" ht="15.6" customHeight="1" x14ac:dyDescent="0.3"/>
    <row r="398" ht="15.6" customHeight="1" x14ac:dyDescent="0.3"/>
    <row r="399" ht="15.6" customHeight="1" x14ac:dyDescent="0.3"/>
    <row r="400" ht="15.6" customHeight="1" x14ac:dyDescent="0.3"/>
    <row r="401" ht="15.6" customHeight="1" x14ac:dyDescent="0.3"/>
    <row r="402" ht="15.6" customHeight="1" x14ac:dyDescent="0.3"/>
    <row r="403" ht="15.6" customHeight="1" x14ac:dyDescent="0.3"/>
    <row r="404" ht="15.6" customHeight="1" x14ac:dyDescent="0.3"/>
    <row r="405" ht="15.6" customHeight="1" x14ac:dyDescent="0.3"/>
    <row r="406" ht="15.6" customHeight="1" x14ac:dyDescent="0.3"/>
    <row r="407" ht="15.6" customHeight="1" x14ac:dyDescent="0.3"/>
    <row r="408" ht="15.6" customHeight="1" x14ac:dyDescent="0.3"/>
    <row r="409" ht="15.6" customHeight="1" x14ac:dyDescent="0.3"/>
    <row r="410" ht="15.6" customHeight="1" x14ac:dyDescent="0.3"/>
    <row r="411" ht="15.6" customHeight="1" x14ac:dyDescent="0.3"/>
    <row r="412" ht="15.6" customHeight="1" x14ac:dyDescent="0.3"/>
    <row r="413" ht="15.6" customHeight="1" x14ac:dyDescent="0.3"/>
    <row r="414" ht="15.6" customHeight="1" x14ac:dyDescent="0.3"/>
    <row r="415" ht="15.6" customHeight="1" x14ac:dyDescent="0.3"/>
    <row r="416" ht="15.6" customHeight="1" x14ac:dyDescent="0.3"/>
    <row r="417" ht="15.6" customHeight="1" x14ac:dyDescent="0.3"/>
    <row r="418" ht="15.6" customHeight="1" x14ac:dyDescent="0.3"/>
    <row r="419" ht="15.6" customHeight="1" x14ac:dyDescent="0.3"/>
    <row r="420" ht="15.6" customHeight="1" x14ac:dyDescent="0.3"/>
    <row r="421" ht="15.6" customHeight="1" x14ac:dyDescent="0.3"/>
    <row r="422" ht="15.6" customHeight="1" x14ac:dyDescent="0.3"/>
    <row r="423" ht="15.6" customHeight="1" x14ac:dyDescent="0.3"/>
    <row r="424" ht="15.6" customHeight="1" x14ac:dyDescent="0.3"/>
    <row r="425" ht="15.6" customHeight="1" x14ac:dyDescent="0.3"/>
    <row r="426" ht="15.6" customHeight="1" x14ac:dyDescent="0.3"/>
    <row r="427" ht="15.6" customHeight="1" x14ac:dyDescent="0.3"/>
    <row r="428" ht="15.6" customHeight="1" x14ac:dyDescent="0.3"/>
    <row r="429" ht="15.6" customHeight="1" x14ac:dyDescent="0.3"/>
    <row r="430" ht="15.6" customHeight="1" x14ac:dyDescent="0.3"/>
    <row r="431" ht="15.6" customHeight="1" x14ac:dyDescent="0.3"/>
    <row r="432" ht="15.6" customHeight="1" x14ac:dyDescent="0.3"/>
    <row r="433" ht="15.6" customHeight="1" x14ac:dyDescent="0.3"/>
    <row r="434" ht="15.6" customHeight="1" x14ac:dyDescent="0.3"/>
    <row r="435" ht="15.6" customHeight="1" x14ac:dyDescent="0.3"/>
    <row r="436" ht="15.6" customHeight="1" x14ac:dyDescent="0.3"/>
    <row r="437" ht="15.6" customHeight="1" x14ac:dyDescent="0.3"/>
    <row r="438" ht="15.6" customHeight="1" x14ac:dyDescent="0.3"/>
    <row r="439" ht="15.6" customHeight="1" x14ac:dyDescent="0.3"/>
    <row r="440" ht="15.6" customHeight="1" x14ac:dyDescent="0.3"/>
    <row r="441" ht="15.6" customHeight="1" x14ac:dyDescent="0.3"/>
    <row r="442" ht="15.6" customHeight="1" x14ac:dyDescent="0.3"/>
    <row r="443" ht="15.6" customHeight="1" x14ac:dyDescent="0.3"/>
    <row r="444" ht="15.6" customHeight="1" x14ac:dyDescent="0.3"/>
    <row r="445" ht="15.6" customHeight="1" x14ac:dyDescent="0.3"/>
    <row r="446" ht="15.6" customHeight="1" x14ac:dyDescent="0.3"/>
    <row r="447" ht="15.6" customHeight="1" x14ac:dyDescent="0.3"/>
    <row r="448" ht="15.6" customHeight="1" x14ac:dyDescent="0.3"/>
    <row r="449" ht="15.6" customHeight="1" x14ac:dyDescent="0.3"/>
    <row r="450" ht="15.6" customHeight="1" x14ac:dyDescent="0.3"/>
    <row r="451" ht="15.6" customHeight="1" x14ac:dyDescent="0.3"/>
    <row r="452" ht="15.6" customHeight="1" x14ac:dyDescent="0.3"/>
    <row r="453" ht="15.6" customHeight="1" x14ac:dyDescent="0.3"/>
    <row r="454" ht="15.6" customHeight="1" x14ac:dyDescent="0.3"/>
    <row r="455" ht="15.6" customHeight="1" x14ac:dyDescent="0.3"/>
    <row r="456" ht="15.6" customHeight="1" x14ac:dyDescent="0.3"/>
    <row r="457" ht="15.6" customHeight="1" x14ac:dyDescent="0.3"/>
    <row r="458" ht="15.6" customHeight="1" x14ac:dyDescent="0.3"/>
    <row r="459" ht="15.6" customHeight="1" x14ac:dyDescent="0.3"/>
    <row r="460" ht="15.6" customHeight="1" x14ac:dyDescent="0.3"/>
    <row r="461" ht="15.6" customHeight="1" x14ac:dyDescent="0.3"/>
    <row r="462" ht="15.6" customHeight="1" x14ac:dyDescent="0.3"/>
    <row r="463" ht="15.6" customHeight="1" x14ac:dyDescent="0.3"/>
    <row r="464" ht="15.6" customHeight="1" x14ac:dyDescent="0.3"/>
    <row r="465" ht="15.6" customHeight="1" x14ac:dyDescent="0.3"/>
    <row r="466" ht="15.6" customHeight="1" x14ac:dyDescent="0.3"/>
    <row r="467" ht="15.6" customHeight="1" x14ac:dyDescent="0.3"/>
    <row r="468" ht="15.6" customHeight="1" x14ac:dyDescent="0.3"/>
    <row r="469" ht="15.6" customHeight="1" x14ac:dyDescent="0.3"/>
    <row r="470" ht="15.6" customHeight="1" x14ac:dyDescent="0.3"/>
    <row r="471" ht="15.6" customHeight="1" x14ac:dyDescent="0.3"/>
    <row r="472" ht="15.6" customHeight="1" x14ac:dyDescent="0.3"/>
    <row r="473" ht="15.6" customHeight="1" x14ac:dyDescent="0.3"/>
    <row r="474" ht="15.6" customHeight="1" x14ac:dyDescent="0.3"/>
    <row r="475" ht="15.6" customHeight="1" x14ac:dyDescent="0.3"/>
    <row r="476" ht="15.6" customHeight="1" x14ac:dyDescent="0.3"/>
    <row r="477" ht="15.6" customHeight="1" x14ac:dyDescent="0.3"/>
    <row r="478" ht="15.6" customHeight="1" x14ac:dyDescent="0.3"/>
    <row r="479" ht="15.6" customHeight="1" x14ac:dyDescent="0.3"/>
    <row r="480" ht="15.6" customHeight="1" x14ac:dyDescent="0.3"/>
    <row r="481" ht="15.6" customHeight="1" x14ac:dyDescent="0.3"/>
    <row r="482" ht="15.6" customHeight="1" x14ac:dyDescent="0.3"/>
    <row r="483" ht="15.6" customHeight="1" x14ac:dyDescent="0.3"/>
    <row r="484" ht="15.6" customHeight="1" x14ac:dyDescent="0.3"/>
    <row r="485" ht="15.6" customHeight="1" x14ac:dyDescent="0.3"/>
    <row r="486" ht="15.6" customHeight="1" x14ac:dyDescent="0.3"/>
    <row r="487" ht="15.6" customHeight="1" x14ac:dyDescent="0.3"/>
    <row r="488" ht="15.6" customHeight="1" x14ac:dyDescent="0.3"/>
    <row r="489" ht="15.6" customHeight="1" x14ac:dyDescent="0.3"/>
    <row r="490" ht="15.6" customHeight="1" x14ac:dyDescent="0.3"/>
    <row r="491" ht="15.6" customHeight="1" x14ac:dyDescent="0.3"/>
    <row r="492" ht="15.6" customHeight="1" x14ac:dyDescent="0.3"/>
    <row r="493" ht="15.6" customHeight="1" x14ac:dyDescent="0.3"/>
    <row r="494" ht="15.6" customHeight="1" x14ac:dyDescent="0.3"/>
    <row r="495" ht="15.6" customHeight="1" x14ac:dyDescent="0.3"/>
    <row r="496" ht="15.6" customHeight="1" x14ac:dyDescent="0.3"/>
    <row r="497" ht="15.6" customHeight="1" x14ac:dyDescent="0.3"/>
    <row r="498" ht="15.6" customHeight="1" x14ac:dyDescent="0.3"/>
    <row r="499" ht="15.6" customHeight="1" x14ac:dyDescent="0.3"/>
    <row r="500" ht="15.6" customHeight="1" x14ac:dyDescent="0.3"/>
    <row r="501" ht="15.6" customHeight="1" x14ac:dyDescent="0.3"/>
    <row r="502" ht="15.6" customHeight="1" x14ac:dyDescent="0.3"/>
    <row r="503" ht="15.6" customHeight="1" x14ac:dyDescent="0.3"/>
    <row r="504" ht="15.6" customHeight="1" x14ac:dyDescent="0.3"/>
    <row r="505" ht="15.6" customHeight="1" x14ac:dyDescent="0.3"/>
    <row r="506" ht="15.6" customHeight="1" x14ac:dyDescent="0.3"/>
    <row r="507" ht="15.6" customHeight="1" x14ac:dyDescent="0.3"/>
    <row r="508" ht="15.6" customHeight="1" x14ac:dyDescent="0.3"/>
    <row r="509" ht="15.6" customHeight="1" x14ac:dyDescent="0.3"/>
    <row r="510" ht="15.6" customHeight="1" x14ac:dyDescent="0.3"/>
    <row r="511" ht="15.6" customHeight="1" x14ac:dyDescent="0.3"/>
    <row r="512" ht="15.6" customHeight="1" x14ac:dyDescent="0.3"/>
    <row r="513" ht="15.6" customHeight="1" x14ac:dyDescent="0.3"/>
    <row r="514" ht="15.6" customHeight="1" x14ac:dyDescent="0.3"/>
    <row r="515" ht="15.6" customHeight="1" x14ac:dyDescent="0.3"/>
    <row r="516" ht="15.6" customHeight="1" x14ac:dyDescent="0.3"/>
    <row r="517" ht="15.6" customHeight="1" x14ac:dyDescent="0.3"/>
    <row r="518" ht="15.6" customHeight="1" x14ac:dyDescent="0.3"/>
    <row r="519" ht="15.6" customHeight="1" x14ac:dyDescent="0.3"/>
    <row r="520" ht="15.6" customHeight="1" x14ac:dyDescent="0.3"/>
    <row r="521" ht="15.6" customHeight="1" x14ac:dyDescent="0.3"/>
    <row r="522" ht="15.6" customHeight="1" x14ac:dyDescent="0.3"/>
    <row r="523" ht="15.6" customHeight="1" x14ac:dyDescent="0.3"/>
    <row r="524" ht="15.6" customHeight="1" x14ac:dyDescent="0.3"/>
    <row r="525" ht="15.6" customHeight="1" x14ac:dyDescent="0.3"/>
    <row r="526" ht="15.6" customHeight="1" x14ac:dyDescent="0.3"/>
    <row r="527" ht="15.6" customHeight="1" x14ac:dyDescent="0.3"/>
    <row r="528" ht="15.6" customHeight="1" x14ac:dyDescent="0.3"/>
    <row r="529" ht="15.6" customHeight="1" x14ac:dyDescent="0.3"/>
    <row r="530" ht="15.6" customHeight="1" x14ac:dyDescent="0.3"/>
    <row r="531" ht="15.6" customHeight="1" x14ac:dyDescent="0.3"/>
    <row r="532" ht="15.6" customHeight="1" x14ac:dyDescent="0.3"/>
    <row r="533" ht="15.6" customHeight="1" x14ac:dyDescent="0.3"/>
    <row r="534" ht="15.6" customHeight="1" x14ac:dyDescent="0.3"/>
    <row r="535" ht="15.6" customHeight="1" x14ac:dyDescent="0.3"/>
    <row r="536" ht="15.6" customHeight="1" x14ac:dyDescent="0.3"/>
    <row r="537" ht="15.6" customHeight="1" x14ac:dyDescent="0.3"/>
    <row r="538" ht="15.6" customHeight="1" x14ac:dyDescent="0.3"/>
    <row r="539" ht="15.6" customHeight="1" x14ac:dyDescent="0.3"/>
    <row r="540" ht="15.6" customHeight="1" x14ac:dyDescent="0.3"/>
    <row r="541" ht="15.6" customHeight="1" x14ac:dyDescent="0.3"/>
    <row r="542" ht="15.6" customHeight="1" x14ac:dyDescent="0.3"/>
    <row r="543" ht="15.6" customHeight="1" x14ac:dyDescent="0.3"/>
    <row r="544" ht="15.6" customHeight="1" x14ac:dyDescent="0.3"/>
    <row r="545" ht="15.6" customHeight="1" x14ac:dyDescent="0.3"/>
    <row r="546" ht="15.6" customHeight="1" x14ac:dyDescent="0.3"/>
    <row r="547" ht="15.6" customHeight="1" x14ac:dyDescent="0.3"/>
    <row r="548" ht="15.6" customHeight="1" x14ac:dyDescent="0.3"/>
    <row r="549" ht="15.6" customHeight="1" x14ac:dyDescent="0.3"/>
    <row r="550" ht="15.6" customHeight="1" x14ac:dyDescent="0.3"/>
    <row r="551" ht="15.6" customHeight="1" x14ac:dyDescent="0.3"/>
    <row r="552" ht="15.6" customHeight="1" x14ac:dyDescent="0.3"/>
    <row r="553" ht="15.6" customHeight="1" x14ac:dyDescent="0.3"/>
    <row r="554" ht="15.6" customHeight="1" x14ac:dyDescent="0.3"/>
    <row r="555" ht="15.6" customHeight="1" x14ac:dyDescent="0.3"/>
    <row r="556" ht="15.6" customHeight="1" x14ac:dyDescent="0.3"/>
    <row r="557" ht="15.6" customHeight="1" x14ac:dyDescent="0.3"/>
    <row r="558" ht="15.6" customHeight="1" x14ac:dyDescent="0.3"/>
    <row r="559" ht="15.6" customHeight="1" x14ac:dyDescent="0.3"/>
    <row r="560" ht="15.6" customHeight="1" x14ac:dyDescent="0.3"/>
    <row r="561" ht="15.6" customHeight="1" x14ac:dyDescent="0.3"/>
    <row r="562" ht="15.6" customHeight="1" x14ac:dyDescent="0.3"/>
    <row r="563" ht="15.6" customHeight="1" x14ac:dyDescent="0.3"/>
    <row r="564" ht="15.6" customHeight="1" x14ac:dyDescent="0.3"/>
    <row r="565" ht="15.6" customHeight="1" x14ac:dyDescent="0.3"/>
    <row r="566" ht="15.6" customHeight="1" x14ac:dyDescent="0.3"/>
    <row r="567" ht="15.6" customHeight="1" x14ac:dyDescent="0.3"/>
    <row r="568" ht="15.6" customHeight="1" x14ac:dyDescent="0.3"/>
    <row r="569" ht="15.6" customHeight="1" x14ac:dyDescent="0.3"/>
    <row r="570" ht="15.6" customHeight="1" x14ac:dyDescent="0.3"/>
    <row r="571" ht="15.6" customHeight="1" x14ac:dyDescent="0.3"/>
    <row r="572" ht="15.6" customHeight="1" x14ac:dyDescent="0.3"/>
    <row r="573" ht="15.6" customHeight="1" x14ac:dyDescent="0.3"/>
    <row r="574" ht="15.6" customHeight="1" x14ac:dyDescent="0.3"/>
    <row r="575" ht="15.6" customHeight="1" x14ac:dyDescent="0.3"/>
    <row r="576" ht="15.6" customHeight="1" x14ac:dyDescent="0.3"/>
    <row r="577" ht="15.6" customHeight="1" x14ac:dyDescent="0.3"/>
    <row r="578" ht="15.6" customHeight="1" x14ac:dyDescent="0.3"/>
    <row r="579" ht="15.6" customHeight="1" x14ac:dyDescent="0.3"/>
    <row r="580" ht="15.6" customHeight="1" x14ac:dyDescent="0.3"/>
    <row r="581" ht="15.6" customHeight="1" x14ac:dyDescent="0.3"/>
    <row r="582" ht="15.6" customHeight="1" x14ac:dyDescent="0.3"/>
    <row r="583" ht="15.6" customHeight="1" x14ac:dyDescent="0.3"/>
    <row r="584" ht="15.6" customHeight="1" x14ac:dyDescent="0.3"/>
    <row r="585" ht="15.6" customHeight="1" x14ac:dyDescent="0.3"/>
    <row r="586" ht="15.6" customHeight="1" x14ac:dyDescent="0.3"/>
    <row r="587" ht="15.6" customHeight="1" x14ac:dyDescent="0.3"/>
    <row r="588" ht="15.6" customHeight="1" x14ac:dyDescent="0.3"/>
    <row r="589" ht="15.6" customHeight="1" x14ac:dyDescent="0.3"/>
    <row r="590" ht="15.6" customHeight="1" x14ac:dyDescent="0.3"/>
    <row r="591" ht="15.6" customHeight="1" x14ac:dyDescent="0.3"/>
    <row r="592" ht="15.6" customHeight="1" x14ac:dyDescent="0.3"/>
    <row r="593" ht="15.6" customHeight="1" x14ac:dyDescent="0.3"/>
    <row r="594" ht="15.6" customHeight="1" x14ac:dyDescent="0.3"/>
    <row r="595" ht="15.6" customHeight="1" x14ac:dyDescent="0.3"/>
    <row r="596" ht="15.6" customHeight="1" x14ac:dyDescent="0.3"/>
    <row r="597" ht="15.6" customHeight="1" x14ac:dyDescent="0.3"/>
    <row r="598" ht="15.6" customHeight="1" x14ac:dyDescent="0.3"/>
    <row r="599" ht="15.6" customHeight="1" x14ac:dyDescent="0.3"/>
    <row r="600" ht="15.6" customHeight="1" x14ac:dyDescent="0.3"/>
    <row r="601" ht="15.6" customHeight="1" x14ac:dyDescent="0.3"/>
    <row r="602" ht="15.6" customHeight="1" x14ac:dyDescent="0.3"/>
    <row r="603" ht="15.6" customHeight="1" x14ac:dyDescent="0.3"/>
    <row r="604" ht="15.6" customHeight="1" x14ac:dyDescent="0.3"/>
    <row r="605" ht="15.6" customHeight="1" x14ac:dyDescent="0.3"/>
    <row r="606" ht="15.6" customHeight="1" x14ac:dyDescent="0.3"/>
    <row r="607" ht="15.6" customHeight="1" x14ac:dyDescent="0.3"/>
    <row r="608" ht="15.6" customHeight="1" x14ac:dyDescent="0.3"/>
    <row r="609" ht="15.6" customHeight="1" x14ac:dyDescent="0.3"/>
    <row r="610" ht="15.6" customHeight="1" x14ac:dyDescent="0.3"/>
    <row r="611" ht="15.6" customHeight="1" x14ac:dyDescent="0.3"/>
    <row r="612" ht="15.6" customHeight="1" x14ac:dyDescent="0.3"/>
    <row r="613" ht="15.6" customHeight="1" x14ac:dyDescent="0.3"/>
    <row r="614" ht="15.6" customHeight="1" x14ac:dyDescent="0.3"/>
    <row r="615" ht="15.6" customHeight="1" x14ac:dyDescent="0.3"/>
    <row r="616" ht="15.6" customHeight="1" x14ac:dyDescent="0.3"/>
    <row r="617" ht="15.6" customHeight="1" x14ac:dyDescent="0.3"/>
    <row r="618" ht="15.6" customHeight="1" x14ac:dyDescent="0.3"/>
    <row r="619" ht="15.6" customHeight="1" x14ac:dyDescent="0.3"/>
    <row r="620" ht="15.6" customHeight="1" x14ac:dyDescent="0.3"/>
    <row r="621" ht="15.6" customHeight="1" x14ac:dyDescent="0.3"/>
    <row r="622" ht="15.6" customHeight="1" x14ac:dyDescent="0.3"/>
    <row r="623" ht="15.6" customHeight="1" x14ac:dyDescent="0.3"/>
    <row r="624" ht="15.6" customHeight="1" x14ac:dyDescent="0.3"/>
    <row r="625" ht="15.6" customHeight="1" x14ac:dyDescent="0.3"/>
    <row r="626" ht="15.6" customHeight="1" x14ac:dyDescent="0.3"/>
    <row r="627" ht="15.6" customHeight="1" x14ac:dyDescent="0.3"/>
    <row r="628" ht="15.6" customHeight="1" x14ac:dyDescent="0.3"/>
    <row r="629" ht="15.6" customHeight="1" x14ac:dyDescent="0.3"/>
    <row r="630" ht="15.6" customHeight="1" x14ac:dyDescent="0.3"/>
    <row r="631" ht="15.6" customHeight="1" x14ac:dyDescent="0.3"/>
    <row r="632" ht="15.6" customHeight="1" x14ac:dyDescent="0.3"/>
    <row r="633" ht="15.6" customHeight="1" x14ac:dyDescent="0.3"/>
    <row r="634" ht="15.6" customHeight="1" x14ac:dyDescent="0.3"/>
    <row r="635" ht="15.6" customHeight="1" x14ac:dyDescent="0.3"/>
    <row r="636" ht="15.6" customHeight="1" x14ac:dyDescent="0.3"/>
    <row r="637" ht="15.6" customHeight="1" x14ac:dyDescent="0.3"/>
    <row r="638" ht="15.6" customHeight="1" x14ac:dyDescent="0.3"/>
    <row r="639" ht="15.6" customHeight="1" x14ac:dyDescent="0.3"/>
    <row r="640" ht="15.6" customHeight="1" x14ac:dyDescent="0.3"/>
    <row r="641" ht="15.6" customHeight="1" x14ac:dyDescent="0.3"/>
    <row r="642" ht="15.6" customHeight="1" x14ac:dyDescent="0.3"/>
    <row r="643" ht="15.6" customHeight="1" x14ac:dyDescent="0.3"/>
    <row r="644" ht="15.6" customHeight="1" x14ac:dyDescent="0.3"/>
    <row r="645" ht="15.6" customHeight="1" x14ac:dyDescent="0.3"/>
    <row r="646" ht="15.6" customHeight="1" x14ac:dyDescent="0.3"/>
    <row r="647" ht="15.6" customHeight="1" x14ac:dyDescent="0.3"/>
    <row r="648" ht="15.6" customHeight="1" x14ac:dyDescent="0.3"/>
    <row r="649" ht="15.6" customHeight="1" x14ac:dyDescent="0.3"/>
    <row r="650" ht="15.6" customHeight="1" x14ac:dyDescent="0.3"/>
    <row r="651" ht="15.6" customHeight="1" x14ac:dyDescent="0.3"/>
    <row r="652" ht="15.6" customHeight="1" x14ac:dyDescent="0.3"/>
    <row r="653" ht="15.6" customHeight="1" x14ac:dyDescent="0.3"/>
    <row r="654" ht="15.6" customHeight="1" x14ac:dyDescent="0.3"/>
    <row r="655" ht="15.6" customHeight="1" x14ac:dyDescent="0.3"/>
    <row r="656" ht="15.6" customHeight="1" x14ac:dyDescent="0.3"/>
    <row r="657" ht="15.6" customHeight="1" x14ac:dyDescent="0.3"/>
    <row r="658" ht="15.6" customHeight="1" x14ac:dyDescent="0.3"/>
    <row r="659" ht="15.6" customHeight="1" x14ac:dyDescent="0.3"/>
    <row r="660" ht="15.6" customHeight="1" x14ac:dyDescent="0.3"/>
    <row r="661" ht="15.6" customHeight="1" x14ac:dyDescent="0.3"/>
    <row r="662" ht="15.6" customHeight="1" x14ac:dyDescent="0.3"/>
    <row r="663" ht="15.6" customHeight="1" x14ac:dyDescent="0.3"/>
    <row r="664" ht="15.6" customHeight="1" x14ac:dyDescent="0.3"/>
    <row r="665" ht="15.6" customHeight="1" x14ac:dyDescent="0.3"/>
    <row r="666" ht="15.6" customHeight="1" x14ac:dyDescent="0.3"/>
    <row r="667" ht="15.6" customHeight="1" x14ac:dyDescent="0.3"/>
    <row r="668" ht="15.6" customHeight="1" x14ac:dyDescent="0.3"/>
    <row r="669" ht="15.6" customHeight="1" x14ac:dyDescent="0.3"/>
    <row r="670" ht="15.6" customHeight="1" x14ac:dyDescent="0.3"/>
    <row r="671" ht="15.6" customHeight="1" x14ac:dyDescent="0.3"/>
    <row r="672" ht="15.6" customHeight="1" x14ac:dyDescent="0.3"/>
    <row r="673" ht="15.6" customHeight="1" x14ac:dyDescent="0.3"/>
    <row r="674" ht="15.6" customHeight="1" x14ac:dyDescent="0.3"/>
    <row r="675" ht="15.6" customHeight="1" x14ac:dyDescent="0.3"/>
    <row r="676" ht="15.6" customHeight="1" x14ac:dyDescent="0.3"/>
    <row r="677" ht="15.6" customHeight="1" x14ac:dyDescent="0.3"/>
    <row r="678" ht="15.6" customHeight="1" x14ac:dyDescent="0.3"/>
    <row r="679" ht="15.6" customHeight="1" x14ac:dyDescent="0.3"/>
    <row r="680" ht="15.6" customHeight="1" x14ac:dyDescent="0.3"/>
    <row r="681" ht="15.6" customHeight="1" x14ac:dyDescent="0.3"/>
    <row r="682" ht="15.6" customHeight="1" x14ac:dyDescent="0.3"/>
    <row r="683" ht="15.6" customHeight="1" x14ac:dyDescent="0.3"/>
    <row r="684" ht="15.6" customHeight="1" x14ac:dyDescent="0.3"/>
    <row r="685" ht="15.6" customHeight="1" x14ac:dyDescent="0.3"/>
    <row r="686" ht="15.6" customHeight="1" x14ac:dyDescent="0.3"/>
    <row r="687" ht="15.6" customHeight="1" x14ac:dyDescent="0.3"/>
    <row r="688" ht="15.6" customHeight="1" x14ac:dyDescent="0.3"/>
    <row r="689" ht="15.6" customHeight="1" x14ac:dyDescent="0.3"/>
    <row r="690" ht="15.6" customHeight="1" x14ac:dyDescent="0.3"/>
    <row r="691" ht="15.6" customHeight="1" x14ac:dyDescent="0.3"/>
    <row r="692" ht="15.6" customHeight="1" x14ac:dyDescent="0.3"/>
    <row r="693" ht="15.6" customHeight="1" x14ac:dyDescent="0.3"/>
    <row r="694" ht="15.6" customHeight="1" x14ac:dyDescent="0.3"/>
    <row r="695" ht="15.6" customHeight="1" x14ac:dyDescent="0.3"/>
    <row r="696" ht="15.6" customHeight="1" x14ac:dyDescent="0.3"/>
    <row r="697" ht="15.6" customHeight="1" x14ac:dyDescent="0.3"/>
    <row r="698" ht="15.6" customHeight="1" x14ac:dyDescent="0.3"/>
    <row r="699" ht="15.6" customHeight="1" x14ac:dyDescent="0.3"/>
    <row r="700" ht="15.6" customHeight="1" x14ac:dyDescent="0.3"/>
    <row r="701" ht="15.6" customHeight="1" x14ac:dyDescent="0.3"/>
    <row r="702" ht="15.6" customHeight="1" x14ac:dyDescent="0.3"/>
    <row r="703" ht="15.6" customHeight="1" x14ac:dyDescent="0.3"/>
    <row r="704" ht="15.6" customHeight="1" x14ac:dyDescent="0.3"/>
    <row r="705" ht="15.6" customHeight="1" x14ac:dyDescent="0.3"/>
    <row r="706" ht="15.6" customHeight="1" x14ac:dyDescent="0.3"/>
    <row r="707" ht="15.6" customHeight="1" x14ac:dyDescent="0.3"/>
    <row r="708" ht="15.6" customHeight="1" x14ac:dyDescent="0.3"/>
    <row r="709" ht="15.6" customHeight="1" x14ac:dyDescent="0.3"/>
    <row r="710" ht="15.6" customHeight="1" x14ac:dyDescent="0.3"/>
    <row r="711" ht="15.6" customHeight="1" x14ac:dyDescent="0.3"/>
    <row r="712" ht="15.6" customHeight="1" x14ac:dyDescent="0.3"/>
    <row r="713" ht="15.6" customHeight="1" x14ac:dyDescent="0.3"/>
    <row r="714" ht="15.6" customHeight="1" x14ac:dyDescent="0.3"/>
    <row r="715" ht="15.6" customHeight="1" x14ac:dyDescent="0.3"/>
    <row r="716" ht="15.6" customHeight="1" x14ac:dyDescent="0.3"/>
    <row r="717" ht="15.6" customHeight="1" x14ac:dyDescent="0.3"/>
    <row r="718" ht="15.6" customHeight="1" x14ac:dyDescent="0.3"/>
    <row r="719" ht="15.6" customHeight="1" x14ac:dyDescent="0.3"/>
    <row r="720" ht="15.6" customHeight="1" x14ac:dyDescent="0.3"/>
    <row r="721" ht="15.6" customHeight="1" x14ac:dyDescent="0.3"/>
    <row r="722" ht="15.6" customHeight="1" x14ac:dyDescent="0.3"/>
    <row r="723" ht="15.6" customHeight="1" x14ac:dyDescent="0.3"/>
    <row r="724" ht="15.6" customHeight="1" x14ac:dyDescent="0.3"/>
    <row r="725" ht="15.6" customHeight="1" x14ac:dyDescent="0.3"/>
    <row r="726" ht="15.6" customHeight="1" x14ac:dyDescent="0.3"/>
    <row r="727" ht="15.6" customHeight="1" x14ac:dyDescent="0.3"/>
    <row r="728" ht="15.6" customHeight="1" x14ac:dyDescent="0.3"/>
    <row r="729" ht="15.6" customHeight="1" x14ac:dyDescent="0.3"/>
    <row r="730" ht="15.6" customHeight="1" x14ac:dyDescent="0.3"/>
    <row r="731" ht="15.6" customHeight="1" x14ac:dyDescent="0.3"/>
    <row r="732" ht="15.6" customHeight="1" x14ac:dyDescent="0.3"/>
    <row r="733" ht="15.6" customHeight="1" x14ac:dyDescent="0.3"/>
    <row r="734" ht="15.6" customHeight="1" x14ac:dyDescent="0.3"/>
    <row r="735" ht="15.6" customHeight="1" x14ac:dyDescent="0.3"/>
    <row r="736" ht="15.6" customHeight="1" x14ac:dyDescent="0.3"/>
    <row r="737" ht="15.6" customHeight="1" x14ac:dyDescent="0.3"/>
    <row r="738" ht="15.6" customHeight="1" x14ac:dyDescent="0.3"/>
    <row r="739" ht="15.6" customHeight="1" x14ac:dyDescent="0.3"/>
    <row r="740" ht="15.6" customHeight="1" x14ac:dyDescent="0.3"/>
    <row r="741" ht="15.6" customHeight="1" x14ac:dyDescent="0.3"/>
    <row r="742" ht="15.6" customHeight="1" x14ac:dyDescent="0.3"/>
    <row r="743" ht="15.6" customHeight="1" x14ac:dyDescent="0.3"/>
    <row r="744" ht="15.6" customHeight="1" x14ac:dyDescent="0.3"/>
    <row r="745" ht="15.6" customHeight="1" x14ac:dyDescent="0.3"/>
    <row r="746" ht="15.6" customHeight="1" x14ac:dyDescent="0.3"/>
    <row r="747" ht="15.6" customHeight="1" x14ac:dyDescent="0.3"/>
    <row r="748" ht="15.6" customHeight="1" x14ac:dyDescent="0.3"/>
    <row r="749" ht="15.6" customHeight="1" x14ac:dyDescent="0.3"/>
    <row r="750" ht="15.6" customHeight="1" x14ac:dyDescent="0.3"/>
    <row r="751" ht="15.6" customHeight="1" x14ac:dyDescent="0.3"/>
    <row r="752" ht="15.6" customHeight="1" x14ac:dyDescent="0.3"/>
    <row r="753" ht="15.6" customHeight="1" x14ac:dyDescent="0.3"/>
    <row r="754" ht="15.6" customHeight="1" x14ac:dyDescent="0.3"/>
    <row r="755" ht="15.6" customHeight="1" x14ac:dyDescent="0.3"/>
    <row r="756" ht="15.6" customHeight="1" x14ac:dyDescent="0.3"/>
    <row r="757" ht="15.6" customHeight="1" x14ac:dyDescent="0.3"/>
    <row r="758" ht="15.6" customHeight="1" x14ac:dyDescent="0.3"/>
    <row r="759" ht="15.6" customHeight="1" x14ac:dyDescent="0.3"/>
    <row r="760" ht="15.6" customHeight="1" x14ac:dyDescent="0.3"/>
    <row r="761" ht="15.6" customHeight="1" x14ac:dyDescent="0.3"/>
    <row r="762" ht="15.6" customHeight="1" x14ac:dyDescent="0.3"/>
    <row r="763" ht="15.6" customHeight="1" x14ac:dyDescent="0.3"/>
    <row r="764" ht="15.6" customHeight="1" x14ac:dyDescent="0.3"/>
    <row r="765" ht="15.6" customHeight="1" x14ac:dyDescent="0.3"/>
    <row r="766" ht="15.6" customHeight="1" x14ac:dyDescent="0.3"/>
    <row r="767" ht="15.6" customHeight="1" x14ac:dyDescent="0.3"/>
    <row r="768" ht="15.6" customHeight="1" x14ac:dyDescent="0.3"/>
    <row r="769" ht="15.6" customHeight="1" x14ac:dyDescent="0.3"/>
    <row r="770" ht="15.6" customHeight="1" x14ac:dyDescent="0.3"/>
    <row r="771" ht="15.6" customHeight="1" x14ac:dyDescent="0.3"/>
    <row r="772" ht="15.6" customHeight="1" x14ac:dyDescent="0.3"/>
    <row r="773" ht="15.6" customHeight="1" x14ac:dyDescent="0.3"/>
    <row r="774" ht="15.6" customHeight="1" x14ac:dyDescent="0.3"/>
    <row r="775" ht="15.6" customHeight="1" x14ac:dyDescent="0.3"/>
    <row r="776" ht="15.6" customHeight="1" x14ac:dyDescent="0.3"/>
    <row r="777" ht="15.6" customHeight="1" x14ac:dyDescent="0.3"/>
    <row r="778" ht="15.6" customHeight="1" x14ac:dyDescent="0.3"/>
    <row r="779" ht="15.6" customHeight="1" x14ac:dyDescent="0.3"/>
    <row r="780" ht="15.6" customHeight="1" x14ac:dyDescent="0.3"/>
    <row r="781" ht="15.6" customHeight="1" x14ac:dyDescent="0.3"/>
    <row r="782" ht="15.6" customHeight="1" x14ac:dyDescent="0.3"/>
    <row r="783" ht="15.6" customHeight="1" x14ac:dyDescent="0.3"/>
    <row r="784" ht="15.6" customHeight="1" x14ac:dyDescent="0.3"/>
    <row r="785" ht="15.6" customHeight="1" x14ac:dyDescent="0.3"/>
    <row r="786" ht="15.6" customHeight="1" x14ac:dyDescent="0.3"/>
    <row r="787" ht="15.6" customHeight="1" x14ac:dyDescent="0.3"/>
    <row r="788" ht="15.6" customHeight="1" x14ac:dyDescent="0.3"/>
    <row r="789" ht="15.6" customHeight="1" x14ac:dyDescent="0.3"/>
    <row r="790" ht="15.6" customHeight="1" x14ac:dyDescent="0.3"/>
    <row r="791" ht="15.6" customHeight="1" x14ac:dyDescent="0.3"/>
    <row r="792" ht="15.6" customHeight="1" x14ac:dyDescent="0.3"/>
    <row r="793" ht="15.6" customHeight="1" x14ac:dyDescent="0.3"/>
    <row r="794" ht="15.6" customHeight="1" x14ac:dyDescent="0.3"/>
    <row r="795" ht="15.6" customHeight="1" x14ac:dyDescent="0.3"/>
    <row r="796" ht="15.6" customHeight="1" x14ac:dyDescent="0.3"/>
    <row r="797" ht="15.6" customHeight="1" x14ac:dyDescent="0.3"/>
    <row r="798" ht="15.6" customHeight="1" x14ac:dyDescent="0.3"/>
    <row r="799" ht="15.6" customHeight="1" x14ac:dyDescent="0.3"/>
    <row r="800" ht="15.6" customHeight="1" x14ac:dyDescent="0.3"/>
    <row r="801" ht="15.6" customHeight="1" x14ac:dyDescent="0.3"/>
    <row r="802" ht="15.6" customHeight="1" x14ac:dyDescent="0.3"/>
    <row r="803" ht="15.6" customHeight="1" x14ac:dyDescent="0.3"/>
    <row r="804" ht="15.6" customHeight="1" x14ac:dyDescent="0.3"/>
    <row r="805" ht="15.6" customHeight="1" x14ac:dyDescent="0.3"/>
    <row r="806" ht="15.6" customHeight="1" x14ac:dyDescent="0.3"/>
    <row r="807" ht="15.6" customHeight="1" x14ac:dyDescent="0.3"/>
    <row r="808" ht="15.6" customHeight="1" x14ac:dyDescent="0.3"/>
    <row r="809" ht="15.6" customHeight="1" x14ac:dyDescent="0.3"/>
    <row r="810" ht="15.6" customHeight="1" x14ac:dyDescent="0.3"/>
    <row r="811" ht="15.6" customHeight="1" x14ac:dyDescent="0.3"/>
    <row r="812" ht="15.6" customHeight="1" x14ac:dyDescent="0.3"/>
    <row r="813" ht="15.6" customHeight="1" x14ac:dyDescent="0.3"/>
    <row r="814" ht="15.6" customHeight="1" x14ac:dyDescent="0.3"/>
    <row r="815" ht="15.6" customHeight="1" x14ac:dyDescent="0.3"/>
    <row r="816" ht="15.6" customHeight="1" x14ac:dyDescent="0.3"/>
    <row r="817" ht="15.6" customHeight="1" x14ac:dyDescent="0.3"/>
    <row r="818" ht="15.6" customHeight="1" x14ac:dyDescent="0.3"/>
    <row r="819" ht="15.6" customHeight="1" x14ac:dyDescent="0.3"/>
    <row r="820" ht="15.6" customHeight="1" x14ac:dyDescent="0.3"/>
    <row r="821" ht="15.6" customHeight="1" x14ac:dyDescent="0.3"/>
    <row r="822" ht="15.6" customHeight="1" x14ac:dyDescent="0.3"/>
    <row r="823" ht="15.6" customHeight="1" x14ac:dyDescent="0.3"/>
    <row r="824" ht="15.6" customHeight="1" x14ac:dyDescent="0.3"/>
    <row r="825" ht="15.6" customHeight="1" x14ac:dyDescent="0.3"/>
    <row r="826" ht="15.6" customHeight="1" x14ac:dyDescent="0.3"/>
    <row r="827" ht="15.6" customHeight="1" x14ac:dyDescent="0.3"/>
    <row r="828" ht="15.6" customHeight="1" x14ac:dyDescent="0.3"/>
    <row r="829" ht="15.6" customHeight="1" x14ac:dyDescent="0.3"/>
    <row r="830" ht="15.6" customHeight="1" x14ac:dyDescent="0.3"/>
    <row r="831" ht="15.6" customHeight="1" x14ac:dyDescent="0.3"/>
    <row r="832" ht="15.6" customHeight="1" x14ac:dyDescent="0.3"/>
    <row r="833" ht="15.6" customHeight="1" x14ac:dyDescent="0.3"/>
    <row r="834" ht="15.6" customHeight="1" x14ac:dyDescent="0.3"/>
    <row r="835" ht="15.6" customHeight="1" x14ac:dyDescent="0.3"/>
    <row r="836" ht="15.6" customHeight="1" x14ac:dyDescent="0.3"/>
    <row r="837" ht="15.6" customHeight="1" x14ac:dyDescent="0.3"/>
    <row r="838" ht="15.6" customHeight="1" x14ac:dyDescent="0.3"/>
    <row r="839" ht="15.6" customHeight="1" x14ac:dyDescent="0.3"/>
    <row r="840" ht="15.6" customHeight="1" x14ac:dyDescent="0.3"/>
    <row r="841" ht="15.6" customHeight="1" x14ac:dyDescent="0.3"/>
    <row r="842" ht="15.6" customHeight="1" x14ac:dyDescent="0.3"/>
    <row r="843" ht="15.6" customHeight="1" x14ac:dyDescent="0.3"/>
    <row r="844" ht="15.6" customHeight="1" x14ac:dyDescent="0.3"/>
    <row r="845" ht="15.6" customHeight="1" x14ac:dyDescent="0.3"/>
    <row r="846" ht="15.6" customHeight="1" x14ac:dyDescent="0.3"/>
    <row r="847" ht="15.6" customHeight="1" x14ac:dyDescent="0.3"/>
    <row r="848" ht="15.6" customHeight="1" x14ac:dyDescent="0.3"/>
    <row r="849" ht="15.6" customHeight="1" x14ac:dyDescent="0.3"/>
    <row r="850" ht="15.6" customHeight="1" x14ac:dyDescent="0.3"/>
    <row r="851" ht="15.6" customHeight="1" x14ac:dyDescent="0.3"/>
    <row r="852" ht="15.6" customHeight="1" x14ac:dyDescent="0.3"/>
    <row r="853" ht="15.6" customHeight="1" x14ac:dyDescent="0.3"/>
    <row r="854" ht="15.6" customHeight="1" x14ac:dyDescent="0.3"/>
    <row r="855" ht="15.6" customHeight="1" x14ac:dyDescent="0.3"/>
    <row r="856" ht="15.6" customHeight="1" x14ac:dyDescent="0.3"/>
    <row r="857" ht="15.6" customHeight="1" x14ac:dyDescent="0.3"/>
    <row r="858" ht="15.6" customHeight="1" x14ac:dyDescent="0.3"/>
    <row r="859" ht="15.6" customHeight="1" x14ac:dyDescent="0.3"/>
    <row r="860" ht="15.6" customHeight="1" x14ac:dyDescent="0.3"/>
    <row r="861" ht="15.6" customHeight="1" x14ac:dyDescent="0.3"/>
    <row r="862" ht="15.6" customHeight="1" x14ac:dyDescent="0.3"/>
    <row r="863" ht="15.6" customHeight="1" x14ac:dyDescent="0.3"/>
    <row r="864" ht="15.6" customHeight="1" x14ac:dyDescent="0.3"/>
    <row r="865" ht="15.6" customHeight="1" x14ac:dyDescent="0.3"/>
    <row r="866" ht="15.6" customHeight="1" x14ac:dyDescent="0.3"/>
    <row r="867" ht="15.6" customHeight="1" x14ac:dyDescent="0.3"/>
    <row r="868" ht="15.6" customHeight="1" x14ac:dyDescent="0.3"/>
    <row r="869" ht="15.6" customHeight="1" x14ac:dyDescent="0.3"/>
    <row r="870" ht="15.6" customHeight="1" x14ac:dyDescent="0.3"/>
    <row r="871" ht="15.6" customHeight="1" x14ac:dyDescent="0.3"/>
    <row r="872" ht="15.6" customHeight="1" x14ac:dyDescent="0.3"/>
    <row r="873" ht="15.6" customHeight="1" x14ac:dyDescent="0.3"/>
    <row r="874" ht="15.6" customHeight="1" x14ac:dyDescent="0.3"/>
    <row r="875" ht="15.6" customHeight="1" x14ac:dyDescent="0.3"/>
    <row r="876" ht="15.6" customHeight="1" x14ac:dyDescent="0.3"/>
    <row r="877" ht="15.6" customHeight="1" x14ac:dyDescent="0.3"/>
    <row r="878" ht="15.6" customHeight="1" x14ac:dyDescent="0.3"/>
    <row r="879" ht="15.6" customHeight="1" x14ac:dyDescent="0.3"/>
    <row r="880" ht="15.6" customHeight="1" x14ac:dyDescent="0.3"/>
    <row r="881" ht="15.6" customHeight="1" x14ac:dyDescent="0.3"/>
    <row r="882" ht="15.6" customHeight="1" x14ac:dyDescent="0.3"/>
    <row r="883" ht="15.6" customHeight="1" x14ac:dyDescent="0.3"/>
    <row r="884" ht="15.6" customHeight="1" x14ac:dyDescent="0.3"/>
    <row r="885" ht="15.6" customHeight="1" x14ac:dyDescent="0.3"/>
    <row r="886" ht="15.6" customHeight="1" x14ac:dyDescent="0.3"/>
    <row r="887" ht="15.6" customHeight="1" x14ac:dyDescent="0.3"/>
    <row r="888" ht="15.6" customHeight="1" x14ac:dyDescent="0.3"/>
    <row r="889" ht="15.6" customHeight="1" x14ac:dyDescent="0.3"/>
    <row r="890" ht="15.6" customHeight="1" x14ac:dyDescent="0.3"/>
    <row r="891" ht="15.6" customHeight="1" x14ac:dyDescent="0.3"/>
    <row r="892" ht="15.6" customHeight="1" x14ac:dyDescent="0.3"/>
    <row r="893" ht="15.6" customHeight="1" x14ac:dyDescent="0.3"/>
    <row r="894" ht="15.6" customHeight="1" x14ac:dyDescent="0.3"/>
    <row r="895" ht="15.6" customHeight="1" x14ac:dyDescent="0.3"/>
    <row r="896" ht="15.6" customHeight="1" x14ac:dyDescent="0.3"/>
    <row r="897" ht="15.6" customHeight="1" x14ac:dyDescent="0.3"/>
    <row r="898" ht="15.6" customHeight="1" x14ac:dyDescent="0.3"/>
    <row r="899" ht="15.6" customHeight="1" x14ac:dyDescent="0.3"/>
    <row r="900" ht="15.6" customHeight="1" x14ac:dyDescent="0.3"/>
    <row r="901" ht="15.6" customHeight="1" x14ac:dyDescent="0.3"/>
    <row r="902" ht="15.6" customHeight="1" x14ac:dyDescent="0.3"/>
    <row r="903" ht="15.6" customHeight="1" x14ac:dyDescent="0.3"/>
    <row r="904" ht="15.6" customHeight="1" x14ac:dyDescent="0.3"/>
    <row r="905" ht="15.6" customHeight="1" x14ac:dyDescent="0.3"/>
    <row r="906" ht="15.6" customHeight="1" x14ac:dyDescent="0.3"/>
    <row r="907" ht="15.6" customHeight="1" x14ac:dyDescent="0.3"/>
    <row r="908" ht="15.6" customHeight="1" x14ac:dyDescent="0.3"/>
    <row r="909" ht="15.6" customHeight="1" x14ac:dyDescent="0.3"/>
    <row r="910" ht="15.6" customHeight="1" x14ac:dyDescent="0.3"/>
    <row r="911" ht="15.6" customHeight="1" x14ac:dyDescent="0.3"/>
    <row r="912" ht="15.6" customHeight="1" x14ac:dyDescent="0.3"/>
    <row r="913" ht="15.6" customHeight="1" x14ac:dyDescent="0.3"/>
    <row r="914" ht="15.6" customHeight="1" x14ac:dyDescent="0.3"/>
    <row r="915" ht="15.6" customHeight="1" x14ac:dyDescent="0.3"/>
    <row r="916" ht="15.6" customHeight="1" x14ac:dyDescent="0.3"/>
    <row r="917" ht="15.6" customHeight="1" x14ac:dyDescent="0.3"/>
    <row r="918" ht="15.6" customHeight="1" x14ac:dyDescent="0.3"/>
    <row r="919" ht="15.6" customHeight="1" x14ac:dyDescent="0.3"/>
    <row r="920" ht="15.6" customHeight="1" x14ac:dyDescent="0.3"/>
    <row r="921" ht="15.6" customHeight="1" x14ac:dyDescent="0.3"/>
    <row r="922" ht="15.6" customHeight="1" x14ac:dyDescent="0.3"/>
    <row r="923" ht="15.6" customHeight="1" x14ac:dyDescent="0.3"/>
    <row r="924" ht="15.6" customHeight="1" x14ac:dyDescent="0.3"/>
    <row r="925" ht="15.6" customHeight="1" x14ac:dyDescent="0.3"/>
    <row r="926" ht="15.6" customHeight="1" x14ac:dyDescent="0.3"/>
    <row r="927" ht="15.6" customHeight="1" x14ac:dyDescent="0.3"/>
    <row r="928" ht="15.6" customHeight="1" x14ac:dyDescent="0.3"/>
    <row r="929" ht="15.6" customHeight="1" x14ac:dyDescent="0.3"/>
    <row r="930" ht="15.6" customHeight="1" x14ac:dyDescent="0.3"/>
    <row r="931" ht="15.6" customHeight="1" x14ac:dyDescent="0.3"/>
    <row r="932" ht="15.6" customHeight="1" x14ac:dyDescent="0.3"/>
    <row r="933" ht="15.6" customHeight="1" x14ac:dyDescent="0.3"/>
    <row r="934" ht="15.6" customHeight="1" x14ac:dyDescent="0.3"/>
    <row r="935" ht="15.6" customHeight="1" x14ac:dyDescent="0.3"/>
    <row r="936" ht="15.6" customHeight="1" x14ac:dyDescent="0.3"/>
    <row r="937" ht="15.6" customHeight="1" x14ac:dyDescent="0.3"/>
    <row r="938" ht="15.6" customHeight="1" x14ac:dyDescent="0.3"/>
    <row r="939" ht="15.6" customHeight="1" x14ac:dyDescent="0.3"/>
    <row r="940" ht="15.6" customHeight="1" x14ac:dyDescent="0.3"/>
    <row r="941" ht="15.6" customHeight="1" x14ac:dyDescent="0.3"/>
    <row r="942" ht="15.6" customHeight="1" x14ac:dyDescent="0.3"/>
    <row r="943" ht="15.6" customHeight="1" x14ac:dyDescent="0.3"/>
    <row r="944" ht="15.6" customHeight="1" x14ac:dyDescent="0.3"/>
    <row r="945" ht="15.6" customHeight="1" x14ac:dyDescent="0.3"/>
    <row r="946" ht="15.6" customHeight="1" x14ac:dyDescent="0.3"/>
    <row r="947" ht="15.6" customHeight="1" x14ac:dyDescent="0.3"/>
    <row r="948" ht="15.6" customHeight="1" x14ac:dyDescent="0.3"/>
    <row r="949" ht="15.6" customHeight="1" x14ac:dyDescent="0.3"/>
    <row r="950" ht="15.6" customHeight="1" x14ac:dyDescent="0.3"/>
    <row r="951" ht="15.6" customHeight="1" x14ac:dyDescent="0.3"/>
    <row r="952" ht="15.6" customHeight="1" x14ac:dyDescent="0.3"/>
    <row r="953" ht="15.6" customHeight="1" x14ac:dyDescent="0.3"/>
    <row r="954" ht="15.6" customHeight="1" x14ac:dyDescent="0.3"/>
    <row r="955" ht="15.6" customHeight="1" x14ac:dyDescent="0.3"/>
    <row r="956" ht="15.6" customHeight="1" x14ac:dyDescent="0.3"/>
    <row r="957" ht="15.6" customHeight="1" x14ac:dyDescent="0.3"/>
    <row r="958" ht="15.6" customHeight="1" x14ac:dyDescent="0.3"/>
    <row r="959" ht="15.6" customHeight="1" x14ac:dyDescent="0.3"/>
    <row r="960" ht="15.6" customHeight="1" x14ac:dyDescent="0.3"/>
    <row r="961" ht="15.6" customHeight="1" x14ac:dyDescent="0.3"/>
    <row r="962" ht="15.6" customHeight="1" x14ac:dyDescent="0.3"/>
    <row r="963" ht="15.6" customHeight="1" x14ac:dyDescent="0.3"/>
    <row r="964" ht="15.6" customHeight="1" x14ac:dyDescent="0.3"/>
    <row r="965" ht="15.6" customHeight="1" x14ac:dyDescent="0.3"/>
    <row r="966" ht="15.6" customHeight="1" x14ac:dyDescent="0.3"/>
    <row r="967" ht="15.6" customHeight="1" x14ac:dyDescent="0.3"/>
    <row r="968" ht="15.6" customHeight="1" x14ac:dyDescent="0.3"/>
    <row r="969" ht="15.6" customHeight="1" x14ac:dyDescent="0.3"/>
    <row r="970" ht="15.6" customHeight="1" x14ac:dyDescent="0.3"/>
    <row r="971" ht="15.6" customHeight="1" x14ac:dyDescent="0.3"/>
    <row r="972" ht="15.6" customHeight="1" x14ac:dyDescent="0.3"/>
    <row r="973" ht="15.6" customHeight="1" x14ac:dyDescent="0.3"/>
    <row r="974" ht="15.6" customHeight="1" x14ac:dyDescent="0.3"/>
    <row r="975" ht="15.6" customHeight="1" x14ac:dyDescent="0.3"/>
    <row r="976" ht="15.6" customHeight="1" x14ac:dyDescent="0.3"/>
    <row r="977" ht="15.6" customHeight="1" x14ac:dyDescent="0.3"/>
    <row r="978" ht="15.6" customHeight="1" x14ac:dyDescent="0.3"/>
    <row r="979" ht="15.6" customHeight="1" x14ac:dyDescent="0.3"/>
    <row r="980" ht="15.6" customHeight="1" x14ac:dyDescent="0.3"/>
    <row r="981" ht="15.6" customHeight="1" x14ac:dyDescent="0.3"/>
    <row r="982" ht="15.6" customHeight="1" x14ac:dyDescent="0.3"/>
    <row r="983" ht="15.6" customHeight="1" x14ac:dyDescent="0.3"/>
    <row r="984" ht="15.6" customHeight="1" x14ac:dyDescent="0.3"/>
    <row r="985" ht="15.6" customHeight="1" x14ac:dyDescent="0.3"/>
    <row r="986" ht="15.6" customHeight="1" x14ac:dyDescent="0.3"/>
    <row r="987" ht="15.6" customHeight="1" x14ac:dyDescent="0.3"/>
    <row r="988" ht="15.6" customHeight="1" x14ac:dyDescent="0.3"/>
    <row r="989" ht="15.6" customHeight="1" x14ac:dyDescent="0.3"/>
    <row r="990" ht="15.6" customHeight="1" x14ac:dyDescent="0.3"/>
    <row r="991" ht="15.6" customHeight="1" x14ac:dyDescent="0.3"/>
    <row r="992" ht="15.6" customHeight="1" x14ac:dyDescent="0.3"/>
    <row r="993" ht="15.6" customHeight="1" x14ac:dyDescent="0.3"/>
    <row r="994" ht="15.6" customHeight="1" x14ac:dyDescent="0.3"/>
    <row r="995" ht="15.6" customHeight="1" x14ac:dyDescent="0.3"/>
    <row r="996" ht="15.6" customHeight="1" x14ac:dyDescent="0.3"/>
    <row r="997" ht="15.6" customHeight="1" x14ac:dyDescent="0.3"/>
    <row r="998" ht="15.6" customHeight="1" x14ac:dyDescent="0.3"/>
    <row r="999" ht="15.6" customHeight="1" x14ac:dyDescent="0.3"/>
    <row r="1000" ht="15.6" customHeight="1" x14ac:dyDescent="0.3"/>
    <row r="1001" ht="15.6" customHeight="1" x14ac:dyDescent="0.3"/>
    <row r="1002" ht="15.6" customHeight="1" x14ac:dyDescent="0.3"/>
    <row r="1003" ht="15.6" customHeight="1" x14ac:dyDescent="0.3"/>
    <row r="1004" ht="15.6" customHeight="1" x14ac:dyDescent="0.3"/>
    <row r="1005" ht="15.6" customHeight="1" x14ac:dyDescent="0.3"/>
    <row r="1006" ht="15.6" customHeight="1" x14ac:dyDescent="0.3"/>
    <row r="1007" ht="15.6" customHeight="1" x14ac:dyDescent="0.3"/>
    <row r="1008" ht="15.6" customHeight="1" x14ac:dyDescent="0.3"/>
    <row r="1009" ht="15.6" customHeight="1" x14ac:dyDescent="0.3"/>
    <row r="1010" ht="15.6" customHeight="1" x14ac:dyDescent="0.3"/>
    <row r="1011" ht="15.6" customHeight="1" x14ac:dyDescent="0.3"/>
    <row r="1012" ht="15.6" customHeight="1" x14ac:dyDescent="0.3"/>
    <row r="1013" ht="15.6" customHeight="1" x14ac:dyDescent="0.3"/>
    <row r="1014" ht="15.6" customHeight="1" x14ac:dyDescent="0.3"/>
    <row r="1015" ht="15.6" customHeight="1" x14ac:dyDescent="0.3"/>
    <row r="1016" ht="15.6" customHeight="1" x14ac:dyDescent="0.3"/>
    <row r="1017" ht="15.6" customHeight="1" x14ac:dyDescent="0.3"/>
    <row r="1018" ht="15.6" customHeight="1" x14ac:dyDescent="0.3"/>
    <row r="1019" ht="15.6" customHeight="1" x14ac:dyDescent="0.3"/>
    <row r="1020" ht="15.6" customHeight="1" x14ac:dyDescent="0.3"/>
    <row r="1021" ht="15.6" customHeight="1" x14ac:dyDescent="0.3"/>
    <row r="1022" ht="15.6" customHeight="1" x14ac:dyDescent="0.3"/>
    <row r="1023" ht="15.6" customHeight="1" x14ac:dyDescent="0.3"/>
    <row r="1024" ht="15.6" customHeight="1" x14ac:dyDescent="0.3"/>
    <row r="1025" ht="15.6" customHeight="1" x14ac:dyDescent="0.3"/>
    <row r="1026" ht="15.6" customHeight="1" x14ac:dyDescent="0.3"/>
    <row r="1027" ht="15.6" customHeight="1" x14ac:dyDescent="0.3"/>
    <row r="1028" ht="15.6" customHeight="1" x14ac:dyDescent="0.3"/>
    <row r="1029" ht="15.6" customHeight="1" x14ac:dyDescent="0.3"/>
    <row r="1030" ht="15.6" customHeight="1" x14ac:dyDescent="0.3"/>
    <row r="1031" ht="15.6" customHeight="1" x14ac:dyDescent="0.3"/>
    <row r="1032" ht="15.6" customHeight="1" x14ac:dyDescent="0.3"/>
    <row r="1033" ht="15.6" customHeight="1" x14ac:dyDescent="0.3"/>
    <row r="1034" ht="15.6" customHeight="1" x14ac:dyDescent="0.3"/>
    <row r="1035" ht="15.6" customHeight="1" x14ac:dyDescent="0.3"/>
    <row r="1036" ht="15.6" customHeight="1" x14ac:dyDescent="0.3"/>
    <row r="1037" ht="15.6" customHeight="1" x14ac:dyDescent="0.3"/>
    <row r="1038" ht="15.6" customHeight="1" x14ac:dyDescent="0.3"/>
    <row r="1039" ht="15.6" customHeight="1" x14ac:dyDescent="0.3"/>
    <row r="1040" ht="15.6" customHeight="1" x14ac:dyDescent="0.3"/>
    <row r="1041" ht="15.6" customHeight="1" x14ac:dyDescent="0.3"/>
    <row r="1042" ht="15.6" customHeight="1" x14ac:dyDescent="0.3"/>
    <row r="1043" ht="15.6" customHeight="1" x14ac:dyDescent="0.3"/>
    <row r="1044" ht="15.6" customHeight="1" x14ac:dyDescent="0.3"/>
    <row r="1045" ht="15.6" customHeight="1" x14ac:dyDescent="0.3"/>
    <row r="1046" ht="15.6" customHeight="1" x14ac:dyDescent="0.3"/>
    <row r="1047" ht="15.6" customHeight="1" x14ac:dyDescent="0.3"/>
    <row r="1048" ht="15.6" customHeight="1" x14ac:dyDescent="0.3"/>
    <row r="1049" ht="15.6" customHeight="1" x14ac:dyDescent="0.3"/>
    <row r="1050" ht="15.6" customHeight="1" x14ac:dyDescent="0.3"/>
    <row r="1051" ht="15.6" customHeight="1" x14ac:dyDescent="0.3"/>
    <row r="1052" ht="15.6" customHeight="1" x14ac:dyDescent="0.3"/>
    <row r="1053" ht="15.6" customHeight="1" x14ac:dyDescent="0.3"/>
    <row r="1054" ht="15.6" customHeight="1" x14ac:dyDescent="0.3"/>
    <row r="1055" ht="15.6" customHeight="1" x14ac:dyDescent="0.3"/>
    <row r="1056" ht="15.6" customHeight="1" x14ac:dyDescent="0.3"/>
    <row r="1057" ht="15.6" customHeight="1" x14ac:dyDescent="0.3"/>
    <row r="1058" ht="15.6" customHeight="1" x14ac:dyDescent="0.3"/>
    <row r="1059" ht="15.6" customHeight="1" x14ac:dyDescent="0.3"/>
    <row r="1060" ht="15.6" customHeight="1" x14ac:dyDescent="0.3"/>
    <row r="1061" ht="15.6" customHeight="1" x14ac:dyDescent="0.3"/>
    <row r="1062" ht="15.6" customHeight="1" x14ac:dyDescent="0.3"/>
    <row r="1063" ht="15.6" customHeight="1" x14ac:dyDescent="0.3"/>
    <row r="1064" ht="15.6" customHeight="1" x14ac:dyDescent="0.3"/>
    <row r="1065" ht="15.6" customHeight="1" x14ac:dyDescent="0.3"/>
    <row r="1066" ht="15.6" customHeight="1" x14ac:dyDescent="0.3"/>
    <row r="1067" ht="15.6" customHeight="1" x14ac:dyDescent="0.3"/>
    <row r="1068" ht="15.6" customHeight="1" x14ac:dyDescent="0.3"/>
    <row r="1069" ht="15.6" customHeight="1" x14ac:dyDescent="0.3"/>
    <row r="1070" ht="15.6" customHeight="1" x14ac:dyDescent="0.3"/>
    <row r="1071" ht="15.6" customHeight="1" x14ac:dyDescent="0.3"/>
    <row r="1072" ht="15.6" customHeight="1" x14ac:dyDescent="0.3"/>
    <row r="1073" ht="15.6" customHeight="1" x14ac:dyDescent="0.3"/>
    <row r="1074" ht="15.6" customHeight="1" x14ac:dyDescent="0.3"/>
    <row r="1075" ht="15.6" customHeight="1" x14ac:dyDescent="0.3"/>
    <row r="1076" ht="15.6" customHeight="1" x14ac:dyDescent="0.3"/>
    <row r="1077" ht="15.6" customHeight="1" x14ac:dyDescent="0.3"/>
    <row r="1078" ht="15.6" customHeight="1" x14ac:dyDescent="0.3"/>
    <row r="1079" ht="15.6" customHeight="1" x14ac:dyDescent="0.3"/>
    <row r="1080" ht="15.6" customHeight="1" x14ac:dyDescent="0.3"/>
    <row r="1081" ht="15.6" customHeight="1" x14ac:dyDescent="0.3"/>
    <row r="1082" ht="15.6" customHeight="1" x14ac:dyDescent="0.3"/>
    <row r="1083" ht="15.6" customHeight="1" x14ac:dyDescent="0.3"/>
    <row r="1084" ht="15.6" customHeight="1" x14ac:dyDescent="0.3"/>
    <row r="1085" ht="15.6" customHeight="1" x14ac:dyDescent="0.3"/>
    <row r="1086" ht="15.6" customHeight="1" x14ac:dyDescent="0.3"/>
    <row r="1087" ht="15.6" customHeight="1" x14ac:dyDescent="0.3"/>
    <row r="1088" ht="15.6" customHeight="1" x14ac:dyDescent="0.3"/>
    <row r="1089" ht="15.6" customHeight="1" x14ac:dyDescent="0.3"/>
    <row r="1090" ht="15.6" customHeight="1" x14ac:dyDescent="0.3"/>
    <row r="1091" ht="15.6" customHeight="1" x14ac:dyDescent="0.3"/>
    <row r="1092" ht="15.6" customHeight="1" x14ac:dyDescent="0.3"/>
    <row r="1093" ht="15.6" customHeight="1" x14ac:dyDescent="0.3"/>
    <row r="1094" ht="15.6" customHeight="1" x14ac:dyDescent="0.3"/>
    <row r="1095" ht="15.6" customHeight="1" x14ac:dyDescent="0.3"/>
    <row r="1096" ht="15.6" customHeight="1" x14ac:dyDescent="0.3"/>
    <row r="1097" ht="15.6" customHeight="1" x14ac:dyDescent="0.3"/>
    <row r="1098" ht="15.6" customHeight="1" x14ac:dyDescent="0.3"/>
    <row r="1099" ht="15.6" customHeight="1" x14ac:dyDescent="0.3"/>
    <row r="1100" ht="15.6" customHeight="1" x14ac:dyDescent="0.3"/>
    <row r="1101" ht="15.6" customHeight="1" x14ac:dyDescent="0.3"/>
    <row r="1102" ht="15.6" customHeight="1" x14ac:dyDescent="0.3"/>
    <row r="1103" ht="15.6" customHeight="1" x14ac:dyDescent="0.3"/>
    <row r="1104" ht="15.6" customHeight="1" x14ac:dyDescent="0.3"/>
    <row r="1105" ht="15.6" customHeight="1" x14ac:dyDescent="0.3"/>
    <row r="1106" ht="15.6" customHeight="1" x14ac:dyDescent="0.3"/>
    <row r="1107" ht="15.6" customHeight="1" x14ac:dyDescent="0.3"/>
    <row r="1108" ht="15.6" customHeight="1" x14ac:dyDescent="0.3"/>
    <row r="1109" ht="15.6" customHeight="1" x14ac:dyDescent="0.3"/>
    <row r="1110" ht="15.6" customHeight="1" x14ac:dyDescent="0.3"/>
    <row r="1111" ht="15.6" customHeight="1" x14ac:dyDescent="0.3"/>
    <row r="1112" ht="15.6" customHeight="1" x14ac:dyDescent="0.3"/>
    <row r="1113" ht="15.6" customHeight="1" x14ac:dyDescent="0.3"/>
    <row r="1114" ht="15.6" customHeight="1" x14ac:dyDescent="0.3"/>
    <row r="1115" ht="15.6" customHeight="1" x14ac:dyDescent="0.3"/>
    <row r="1116" ht="15.6" customHeight="1" x14ac:dyDescent="0.3"/>
    <row r="1117" ht="15.6" customHeight="1" x14ac:dyDescent="0.3"/>
    <row r="1118" ht="15.6" customHeight="1" x14ac:dyDescent="0.3"/>
    <row r="1119" ht="15.6" customHeight="1" x14ac:dyDescent="0.3"/>
    <row r="1120" ht="15.6" customHeight="1" x14ac:dyDescent="0.3"/>
    <row r="1121" ht="15.6" customHeight="1" x14ac:dyDescent="0.3"/>
    <row r="1122" ht="15.6" customHeight="1" x14ac:dyDescent="0.3"/>
    <row r="1123" ht="15.6" customHeight="1" x14ac:dyDescent="0.3"/>
    <row r="1124" ht="15.6" customHeight="1" x14ac:dyDescent="0.3"/>
    <row r="1125" ht="15.6" customHeight="1" x14ac:dyDescent="0.3"/>
    <row r="1126" ht="15.6" customHeight="1" x14ac:dyDescent="0.3"/>
    <row r="1127" ht="15.6" customHeight="1" x14ac:dyDescent="0.3"/>
    <row r="1128" ht="15.6" customHeight="1" x14ac:dyDescent="0.3"/>
    <row r="1129" ht="15.6" customHeight="1" x14ac:dyDescent="0.3"/>
    <row r="1130" ht="15.6" customHeight="1" x14ac:dyDescent="0.3"/>
    <row r="1131" ht="15.6" customHeight="1" x14ac:dyDescent="0.3"/>
    <row r="1132" ht="15.6" customHeight="1" x14ac:dyDescent="0.3"/>
    <row r="1133" ht="15.6" customHeight="1" x14ac:dyDescent="0.3"/>
    <row r="1134" ht="15.6" customHeight="1" x14ac:dyDescent="0.3"/>
    <row r="1135" ht="15.6" customHeight="1" x14ac:dyDescent="0.3"/>
    <row r="1136" ht="15.6" customHeight="1" x14ac:dyDescent="0.3"/>
    <row r="1137" ht="15.6" customHeight="1" x14ac:dyDescent="0.3"/>
    <row r="1138" ht="15.6" customHeight="1" x14ac:dyDescent="0.3"/>
    <row r="1139" ht="15.6" customHeight="1" x14ac:dyDescent="0.3"/>
    <row r="1140" ht="15.6" customHeight="1" x14ac:dyDescent="0.3"/>
    <row r="1141" ht="15.6" customHeight="1" x14ac:dyDescent="0.3"/>
    <row r="1142" ht="15.6" customHeight="1" x14ac:dyDescent="0.3"/>
    <row r="1143" ht="15.6" customHeight="1" x14ac:dyDescent="0.3"/>
    <row r="1144" ht="15.6" customHeight="1" x14ac:dyDescent="0.3"/>
    <row r="1145" ht="15.6" customHeight="1" x14ac:dyDescent="0.3"/>
    <row r="1146" ht="15.6" customHeight="1" x14ac:dyDescent="0.3"/>
    <row r="1147" ht="15.6" customHeight="1" x14ac:dyDescent="0.3"/>
    <row r="1148" ht="15.6" customHeight="1" x14ac:dyDescent="0.3"/>
    <row r="1149" ht="15.6" customHeight="1" x14ac:dyDescent="0.3"/>
    <row r="1150" ht="15.6" customHeight="1" x14ac:dyDescent="0.3"/>
    <row r="1151" ht="15.6" customHeight="1" x14ac:dyDescent="0.3"/>
    <row r="1152" ht="15.6" customHeight="1" x14ac:dyDescent="0.3"/>
    <row r="1153" ht="15.6" customHeight="1" x14ac:dyDescent="0.3"/>
    <row r="1154" ht="15.6" customHeight="1" x14ac:dyDescent="0.3"/>
    <row r="1155" ht="15.6" customHeight="1" x14ac:dyDescent="0.3"/>
    <row r="1156" ht="15.6" customHeight="1" x14ac:dyDescent="0.3"/>
    <row r="1157" ht="15.6" customHeight="1" x14ac:dyDescent="0.3"/>
    <row r="1158" ht="15.6" customHeight="1" x14ac:dyDescent="0.3"/>
    <row r="1159" ht="15.6" customHeight="1" x14ac:dyDescent="0.3"/>
    <row r="1160" ht="15.6" customHeight="1" x14ac:dyDescent="0.3"/>
    <row r="1161" ht="15.6" customHeight="1" x14ac:dyDescent="0.3"/>
    <row r="1162" ht="15.6" customHeight="1" x14ac:dyDescent="0.3"/>
    <row r="1163" ht="15.6" customHeight="1" x14ac:dyDescent="0.3"/>
    <row r="1164" ht="15.6" customHeight="1" x14ac:dyDescent="0.3"/>
    <row r="1165" ht="15.6" customHeight="1" x14ac:dyDescent="0.3"/>
    <row r="1166" ht="15.6" customHeight="1" x14ac:dyDescent="0.3"/>
    <row r="1167" ht="15.6" customHeight="1" x14ac:dyDescent="0.3"/>
    <row r="1168" ht="15.6" customHeight="1" x14ac:dyDescent="0.3"/>
    <row r="1169" ht="15.6" customHeight="1" x14ac:dyDescent="0.3"/>
    <row r="1170" ht="15.6" customHeight="1" x14ac:dyDescent="0.3"/>
    <row r="1171" ht="15.6" customHeight="1" x14ac:dyDescent="0.3"/>
    <row r="1172" ht="15.6" customHeight="1" x14ac:dyDescent="0.3"/>
    <row r="1173" ht="15.6" customHeight="1" x14ac:dyDescent="0.3"/>
    <row r="1174" ht="15.6" customHeight="1" x14ac:dyDescent="0.3"/>
    <row r="1175" ht="15.6" customHeight="1" x14ac:dyDescent="0.3"/>
    <row r="1176" ht="15.6" customHeight="1" x14ac:dyDescent="0.3"/>
    <row r="1177" ht="15.6" customHeight="1" x14ac:dyDescent="0.3"/>
    <row r="1178" ht="15.6" customHeight="1" x14ac:dyDescent="0.3"/>
    <row r="1179" ht="15.6" customHeight="1" x14ac:dyDescent="0.3"/>
    <row r="1180" ht="15.6" customHeight="1" x14ac:dyDescent="0.3"/>
    <row r="1181" ht="15.6" customHeight="1" x14ac:dyDescent="0.3"/>
    <row r="1182" ht="15.6" customHeight="1" x14ac:dyDescent="0.3"/>
    <row r="1183" ht="15.6" customHeight="1" x14ac:dyDescent="0.3"/>
    <row r="1184" ht="15.6" customHeight="1" x14ac:dyDescent="0.3"/>
    <row r="1185" ht="15.6" customHeight="1" x14ac:dyDescent="0.3"/>
    <row r="1186" ht="15.6" customHeight="1" x14ac:dyDescent="0.3"/>
    <row r="1187" ht="15.6" customHeight="1" x14ac:dyDescent="0.3"/>
    <row r="1188" ht="15.6" customHeight="1" x14ac:dyDescent="0.3"/>
    <row r="1189" ht="15.6" customHeight="1" x14ac:dyDescent="0.3"/>
    <row r="1190" ht="15.6" customHeight="1" x14ac:dyDescent="0.3"/>
    <row r="1191" ht="15.6" customHeight="1" x14ac:dyDescent="0.3"/>
    <row r="1192" ht="15.6" customHeight="1" x14ac:dyDescent="0.3"/>
    <row r="1193" ht="15.6" customHeight="1" x14ac:dyDescent="0.3"/>
    <row r="1194" ht="15.6" customHeight="1" x14ac:dyDescent="0.3"/>
    <row r="1195" ht="15.6" customHeight="1" x14ac:dyDescent="0.3"/>
    <row r="1196" ht="15.6" customHeight="1" x14ac:dyDescent="0.3"/>
    <row r="1197" ht="15.6" customHeight="1" x14ac:dyDescent="0.3"/>
    <row r="1198" ht="15.6" customHeight="1" x14ac:dyDescent="0.3"/>
    <row r="1199" ht="15.6" customHeight="1" x14ac:dyDescent="0.3"/>
    <row r="1200" ht="15.6" customHeight="1" x14ac:dyDescent="0.3"/>
    <row r="1201" ht="15.6" customHeight="1" x14ac:dyDescent="0.3"/>
    <row r="1202" ht="15.6" customHeight="1" x14ac:dyDescent="0.3"/>
    <row r="1203" ht="15.6" customHeight="1" x14ac:dyDescent="0.3"/>
    <row r="1204" ht="15.6" customHeight="1" x14ac:dyDescent="0.3"/>
    <row r="1205" ht="15.6" customHeight="1" x14ac:dyDescent="0.3"/>
    <row r="1206" ht="15.6" customHeight="1" x14ac:dyDescent="0.3"/>
    <row r="1207" ht="15.6" customHeight="1" x14ac:dyDescent="0.3"/>
    <row r="1208" ht="15.6" customHeight="1" x14ac:dyDescent="0.3"/>
    <row r="1209" ht="15.6" customHeight="1" x14ac:dyDescent="0.3"/>
    <row r="1210" ht="15.6" customHeight="1" x14ac:dyDescent="0.3"/>
    <row r="1211" ht="15.6" customHeight="1" x14ac:dyDescent="0.3"/>
    <row r="1212" ht="15.6" customHeight="1" x14ac:dyDescent="0.3"/>
    <row r="1213" ht="15.6" customHeight="1" x14ac:dyDescent="0.3"/>
    <row r="1214" ht="15.6" customHeight="1" x14ac:dyDescent="0.3"/>
    <row r="1215" ht="15.6" customHeight="1" x14ac:dyDescent="0.3"/>
    <row r="1216" ht="15.6" customHeight="1" x14ac:dyDescent="0.3"/>
    <row r="1217" ht="15.6" customHeight="1" x14ac:dyDescent="0.3"/>
    <row r="1218" ht="15.6" customHeight="1" x14ac:dyDescent="0.3"/>
    <row r="1219" ht="15.6" customHeight="1" x14ac:dyDescent="0.3"/>
    <row r="1220" ht="15.6" customHeight="1" x14ac:dyDescent="0.3"/>
    <row r="1221" ht="15.6" customHeight="1" x14ac:dyDescent="0.3"/>
    <row r="1222" ht="15.6" customHeight="1" x14ac:dyDescent="0.3"/>
    <row r="1223" ht="15.6" customHeight="1" x14ac:dyDescent="0.3"/>
    <row r="1224" ht="15.6" customHeight="1" x14ac:dyDescent="0.3"/>
    <row r="1225" ht="15.6" customHeight="1" x14ac:dyDescent="0.3"/>
    <row r="1226" ht="15.6" customHeight="1" x14ac:dyDescent="0.3"/>
    <row r="1227" ht="15.6" customHeight="1" x14ac:dyDescent="0.3"/>
    <row r="1228" ht="15.6" customHeight="1" x14ac:dyDescent="0.3"/>
    <row r="1229" ht="15.6" customHeight="1" x14ac:dyDescent="0.3"/>
    <row r="1230" ht="15.6" customHeight="1" x14ac:dyDescent="0.3"/>
    <row r="1231" ht="15.6" customHeight="1" x14ac:dyDescent="0.3"/>
    <row r="1232" ht="15.6" customHeight="1" x14ac:dyDescent="0.3"/>
    <row r="1233" ht="15.6" customHeight="1" x14ac:dyDescent="0.3"/>
    <row r="1234" ht="15.6" customHeight="1" x14ac:dyDescent="0.3"/>
    <row r="1235" ht="15.6" customHeight="1" x14ac:dyDescent="0.3"/>
    <row r="1236" ht="15.6" customHeight="1" x14ac:dyDescent="0.3"/>
    <row r="1237" ht="15.6" customHeight="1" x14ac:dyDescent="0.3"/>
    <row r="1238" ht="15.6" customHeight="1" x14ac:dyDescent="0.3"/>
    <row r="1239" ht="15.6" customHeight="1" x14ac:dyDescent="0.3"/>
    <row r="1240" ht="15.6" customHeight="1" x14ac:dyDescent="0.3"/>
    <row r="1241" ht="15.6" customHeight="1" x14ac:dyDescent="0.3"/>
    <row r="1242" ht="15.6" customHeight="1" x14ac:dyDescent="0.3"/>
    <row r="1243" ht="15.6" customHeight="1" x14ac:dyDescent="0.3"/>
    <row r="1244" ht="15.6" customHeight="1" x14ac:dyDescent="0.3"/>
    <row r="1245" ht="15.6" customHeight="1" x14ac:dyDescent="0.3"/>
    <row r="1246" ht="15.6" customHeight="1" x14ac:dyDescent="0.3"/>
    <row r="1247" ht="15.6" customHeight="1" x14ac:dyDescent="0.3"/>
    <row r="1248" ht="15.6" customHeight="1" x14ac:dyDescent="0.3"/>
    <row r="1249" ht="15.6" customHeight="1" x14ac:dyDescent="0.3"/>
    <row r="1250" ht="15.6" customHeight="1" x14ac:dyDescent="0.3"/>
    <row r="1251" ht="15.6" customHeight="1" x14ac:dyDescent="0.3"/>
    <row r="1252" ht="15.6" customHeight="1" x14ac:dyDescent="0.3"/>
    <row r="1253" ht="15.6" customHeight="1" x14ac:dyDescent="0.3"/>
    <row r="1254" ht="15.6" customHeight="1" x14ac:dyDescent="0.3"/>
    <row r="1255" ht="15.6" customHeight="1" x14ac:dyDescent="0.3"/>
    <row r="1256" ht="15.6" customHeight="1" x14ac:dyDescent="0.3"/>
    <row r="1257" ht="15.6" customHeight="1" x14ac:dyDescent="0.3"/>
    <row r="1258" ht="15.6" customHeight="1" x14ac:dyDescent="0.3"/>
    <row r="1259" ht="15.6" customHeight="1" x14ac:dyDescent="0.3"/>
    <row r="1260" ht="15.6" customHeight="1" x14ac:dyDescent="0.3"/>
    <row r="1261" ht="15.6" customHeight="1" x14ac:dyDescent="0.3"/>
  </sheetData>
  <sheetProtection sort="0" pivotTables="0"/>
  <mergeCells count="2">
    <mergeCell ref="A1:D1"/>
    <mergeCell ref="G1:J1"/>
  </mergeCells>
  <pageMargins left="0.7" right="0.7" top="0.75" bottom="0.75" header="0.3" footer="0.3"/>
  <pageSetup paperSize="9" orientation="portrait" horizontalDpi="300" verticalDpi="300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2BE68-9814-453F-8043-3A36E1BFDAE6}">
  <sheetPr codeName="Sheet5"/>
  <dimension ref="A1:J13"/>
  <sheetViews>
    <sheetView zoomScale="160" zoomScaleNormal="160" workbookViewId="0">
      <pane ySplit="3" topLeftCell="A4" activePane="bottomLeft" state="frozen"/>
      <selection pane="bottomLeft" activeCell="E15" sqref="E15"/>
    </sheetView>
  </sheetViews>
  <sheetFormatPr defaultRowHeight="13.8" x14ac:dyDescent="0.3"/>
  <cols>
    <col min="1" max="1" width="7.21875" style="41" bestFit="1" customWidth="1"/>
    <col min="2" max="2" width="16.109375" style="41" bestFit="1" customWidth="1"/>
    <col min="3" max="4" width="16.6640625" style="41" customWidth="1"/>
    <col min="5" max="5" width="16.6640625" style="42" customWidth="1"/>
    <col min="6" max="6" width="16.6640625" style="41" customWidth="1"/>
    <col min="7" max="7" width="15.33203125" style="41" bestFit="1" customWidth="1"/>
    <col min="8" max="8" width="17.88671875" style="41" customWidth="1"/>
    <col min="9" max="9" width="31" style="41" bestFit="1" customWidth="1"/>
    <col min="10" max="10" width="8.88671875" style="41"/>
    <col min="11" max="11" width="19.109375" style="41" customWidth="1"/>
    <col min="12" max="16384" width="8.88671875" style="41"/>
  </cols>
  <sheetData>
    <row r="1" spans="1:10" ht="22.8" customHeight="1" x14ac:dyDescent="0.3">
      <c r="A1" s="84" t="s">
        <v>31</v>
      </c>
      <c r="B1" s="84"/>
      <c r="C1" s="84"/>
      <c r="D1" s="84"/>
      <c r="E1" s="84"/>
      <c r="F1" s="84"/>
      <c r="G1" s="84"/>
      <c r="H1" s="84"/>
    </row>
    <row r="2" spans="1:10" ht="6" customHeight="1" x14ac:dyDescent="0.3"/>
    <row r="3" spans="1:10" ht="18" customHeight="1" x14ac:dyDescent="0.3">
      <c r="A3" s="59" t="s">
        <v>32</v>
      </c>
      <c r="B3" s="59" t="s">
        <v>15</v>
      </c>
      <c r="C3" s="60" t="s">
        <v>33</v>
      </c>
      <c r="D3" s="59" t="s">
        <v>34</v>
      </c>
      <c r="E3" s="59" t="s">
        <v>35</v>
      </c>
      <c r="F3" s="59" t="s">
        <v>36</v>
      </c>
      <c r="G3" s="59" t="s">
        <v>37</v>
      </c>
      <c r="H3" s="59" t="s">
        <v>38</v>
      </c>
      <c r="I3" s="43"/>
      <c r="J3" s="43"/>
    </row>
    <row r="4" spans="1:10" ht="14.4" x14ac:dyDescent="0.3">
      <c r="A4" s="57">
        <v>1</v>
      </c>
      <c r="B4" s="57" t="s">
        <v>39</v>
      </c>
      <c r="C4" s="58">
        <v>5</v>
      </c>
      <c r="D4" s="58">
        <v>10</v>
      </c>
      <c r="E4" s="58">
        <v>1.1000000000000001</v>
      </c>
      <c r="F4" s="57">
        <v>20</v>
      </c>
      <c r="G4" s="57" t="s">
        <v>40</v>
      </c>
      <c r="H4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9 box + 18 single</v>
      </c>
    </row>
    <row r="5" spans="1:10" ht="14.4" x14ac:dyDescent="0.3">
      <c r="A5" s="57">
        <v>2</v>
      </c>
      <c r="B5" s="57" t="s">
        <v>41</v>
      </c>
      <c r="C5" s="58">
        <v>4.5</v>
      </c>
      <c r="D5" s="58">
        <v>9</v>
      </c>
      <c r="E5" s="58">
        <v>0.9</v>
      </c>
      <c r="F5" s="57">
        <v>25</v>
      </c>
      <c r="G5" s="57" t="s">
        <v>42</v>
      </c>
      <c r="H5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3 box</v>
      </c>
    </row>
    <row r="6" spans="1:10" ht="14.4" x14ac:dyDescent="0.3">
      <c r="A6" s="57">
        <v>3</v>
      </c>
      <c r="B6" s="57" t="s">
        <v>43</v>
      </c>
      <c r="C6" s="58">
        <v>6</v>
      </c>
      <c r="D6" s="58">
        <v>12</v>
      </c>
      <c r="E6" s="58">
        <v>1.2</v>
      </c>
      <c r="F6" s="57">
        <v>15</v>
      </c>
      <c r="G6" s="57" t="s">
        <v>44</v>
      </c>
      <c r="H6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0 box + 12 single</v>
      </c>
    </row>
    <row r="7" spans="1:10" ht="14.4" x14ac:dyDescent="0.3">
      <c r="A7" s="57">
        <v>4</v>
      </c>
      <c r="B7" s="57" t="s">
        <v>45</v>
      </c>
      <c r="C7" s="58">
        <v>4</v>
      </c>
      <c r="D7" s="58">
        <v>8</v>
      </c>
      <c r="E7" s="58">
        <v>0.8</v>
      </c>
      <c r="F7" s="57">
        <v>30</v>
      </c>
      <c r="G7" s="57" t="s">
        <v>46</v>
      </c>
      <c r="H7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27 box + 24 single</v>
      </c>
    </row>
    <row r="8" spans="1:10" ht="14.4" x14ac:dyDescent="0.3">
      <c r="A8" s="57">
        <v>5</v>
      </c>
      <c r="B8" s="57" t="s">
        <v>47</v>
      </c>
      <c r="C8" s="58">
        <v>4.5</v>
      </c>
      <c r="D8" s="58">
        <v>9</v>
      </c>
      <c r="E8" s="58">
        <v>0.9</v>
      </c>
      <c r="F8" s="57">
        <v>25</v>
      </c>
      <c r="G8" s="57" t="s">
        <v>48</v>
      </c>
      <c r="H8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-</v>
      </c>
    </row>
    <row r="9" spans="1:10" ht="14.4" x14ac:dyDescent="0.3">
      <c r="A9" s="57">
        <v>6</v>
      </c>
      <c r="B9" s="57" t="s">
        <v>49</v>
      </c>
      <c r="C9" s="58">
        <v>5.5</v>
      </c>
      <c r="D9" s="58">
        <v>11</v>
      </c>
      <c r="E9" s="58">
        <v>1.1000000000000001</v>
      </c>
      <c r="F9" s="57">
        <v>20</v>
      </c>
      <c r="G9" s="57" t="s">
        <v>50</v>
      </c>
      <c r="H9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12 box</v>
      </c>
    </row>
    <row r="10" spans="1:10" ht="14.4" x14ac:dyDescent="0.3">
      <c r="A10" s="57">
        <v>7</v>
      </c>
      <c r="B10" s="57" t="s">
        <v>51</v>
      </c>
      <c r="C10" s="58">
        <v>4</v>
      </c>
      <c r="D10" s="58">
        <v>8</v>
      </c>
      <c r="E10" s="58">
        <v>0.8</v>
      </c>
      <c r="F10" s="57">
        <v>30</v>
      </c>
      <c r="G10" s="57" t="s">
        <v>52</v>
      </c>
      <c r="H10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17 box</v>
      </c>
    </row>
    <row r="11" spans="1:10" ht="14.4" x14ac:dyDescent="0.3">
      <c r="A11" s="57">
        <v>8</v>
      </c>
      <c r="B11" s="57" t="s">
        <v>53</v>
      </c>
      <c r="C11" s="58">
        <v>5</v>
      </c>
      <c r="D11" s="58">
        <v>10</v>
      </c>
      <c r="E11" s="58">
        <v>1</v>
      </c>
      <c r="F11" s="57">
        <v>20</v>
      </c>
      <c r="G11" s="57" t="s">
        <v>44</v>
      </c>
      <c r="H11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16 box + 19 single</v>
      </c>
    </row>
    <row r="12" spans="1:10" ht="14.4" x14ac:dyDescent="0.3">
      <c r="A12" s="57">
        <v>9</v>
      </c>
      <c r="B12" s="57" t="s">
        <v>54</v>
      </c>
      <c r="C12" s="58">
        <v>6.5</v>
      </c>
      <c r="D12" s="58">
        <v>13</v>
      </c>
      <c r="E12" s="58">
        <v>1.3</v>
      </c>
      <c r="F12" s="57">
        <v>15</v>
      </c>
      <c r="G12" s="57" t="s">
        <v>55</v>
      </c>
      <c r="H12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-</v>
      </c>
    </row>
    <row r="13" spans="1:10" ht="14.4" x14ac:dyDescent="0.3">
      <c r="A13" s="57">
        <v>10</v>
      </c>
      <c r="B13" s="57" t="s">
        <v>56</v>
      </c>
      <c r="C13" s="58">
        <v>7</v>
      </c>
      <c r="D13" s="58">
        <v>14</v>
      </c>
      <c r="E13" s="58">
        <v>1.4</v>
      </c>
      <c r="F13" s="57">
        <v>10</v>
      </c>
      <c r="G13" s="57" t="s">
        <v>57</v>
      </c>
      <c r="H13" s="57" t="str">
        <f>IFERROR(    IF(     INT(INDEX('Available Amounts'!$B$2:$B$500,MATCH(Table1[[#This Row],[Item]],'Available Amounts'!$A$2:$A$500,0)))=0,
                                 "",
                                 IF(    MOD(INDEX('Available Amounts'!$B$2:$B$500,MATCH(Table1[[#This Row],[Item]],'Available Amounts'!$A$2:$A$500,0)),Table1[[#This Row],[No. of Items in Box]])=0,
                                         INT(INDEX('Available Amounts'!$B$2:$B$500,MATCH(Table1[[#This Row],[Item]],'Available Amounts'!$A$2:$A$500,0))/Table1[[#This Row],[No. of Items in Box]])&amp;" box",
                                         INT(INDEX('Available Amounts'!$B$2:$B$500,MATCH(Table1[[#This Row],[Item]],'Available Amounts'!$A$2:$A$500,0))/Table1[[#This Row],[No. of Items in Box]])&amp;" box + ")
                            )
                         &amp;IF(    MOD(INDEX('Available Amounts'!$B$2:$B$500,MATCH(Table1[[#This Row],[Item]],'Available Amounts'!$A$2:$A$500,0)),Table1[[#This Row],[No. of Items in Box]])=0,
                                     "",
                                    MOD(INDEX('Available Amounts'!$B$2:$B$500,MATCH(Table1[[#This Row],[Item]],'Available Amounts'!$A$2:$A$500,0)),Table1[[#This Row],[No. of Items in Box]])&amp;" single"
                                ),
                    "-")</f>
        <v>-</v>
      </c>
    </row>
  </sheetData>
  <sortState xmlns:xlrd2="http://schemas.microsoft.com/office/spreadsheetml/2017/richdata2" ref="A4:G4">
    <sortCondition ref="A4"/>
  </sortState>
  <mergeCells count="1">
    <mergeCell ref="A1:H1"/>
  </mergeCell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C1E82-3EEB-4D9D-A480-8409D9F1F3D1}">
  <sheetPr codeName="Sheet6"/>
  <dimension ref="A1:I320"/>
  <sheetViews>
    <sheetView zoomScale="160" zoomScaleNormal="160" workbookViewId="0">
      <pane ySplit="3" topLeftCell="A4" activePane="bottomLeft" state="frozen"/>
      <selection activeCell="F10" sqref="F10"/>
      <selection pane="bottomLeft" activeCell="H10" sqref="H10"/>
    </sheetView>
  </sheetViews>
  <sheetFormatPr defaultRowHeight="13.8" x14ac:dyDescent="0.3"/>
  <cols>
    <col min="1" max="1" width="6.33203125" style="41" bestFit="1" customWidth="1"/>
    <col min="2" max="2" width="17.109375" style="41" customWidth="1"/>
    <col min="3" max="3" width="21.6640625" style="41" customWidth="1"/>
    <col min="4" max="4" width="19.88671875" style="41" customWidth="1"/>
    <col min="5" max="5" width="16.21875" style="41" customWidth="1"/>
    <col min="6" max="6" width="18.33203125" style="41" customWidth="1"/>
    <col min="7" max="16384" width="8.88671875" style="41"/>
  </cols>
  <sheetData>
    <row r="1" spans="1:9" ht="34.200000000000003" customHeight="1" x14ac:dyDescent="0.3">
      <c r="A1" s="85" t="s">
        <v>92</v>
      </c>
      <c r="B1" s="85"/>
      <c r="C1" s="85"/>
      <c r="D1" s="85"/>
      <c r="E1" s="85"/>
      <c r="F1" s="85"/>
      <c r="G1" s="43"/>
      <c r="H1" s="43"/>
      <c r="I1" s="43"/>
    </row>
    <row r="2" spans="1:9" ht="6" customHeight="1" x14ac:dyDescent="0.3"/>
    <row r="3" spans="1:9" ht="23.4" customHeight="1" x14ac:dyDescent="0.3">
      <c r="A3" s="41" t="s">
        <v>32</v>
      </c>
      <c r="B3" s="41" t="s">
        <v>25</v>
      </c>
      <c r="C3" s="41" t="s">
        <v>58</v>
      </c>
      <c r="D3" s="41" t="s">
        <v>59</v>
      </c>
      <c r="E3" s="41" t="s">
        <v>60</v>
      </c>
      <c r="F3" s="41" t="s">
        <v>61</v>
      </c>
    </row>
    <row r="4" spans="1:9" ht="16.2" customHeight="1" x14ac:dyDescent="0.3">
      <c r="A4" s="41">
        <f>ROW(Table4[[#This Row],[ID]])-ROW(Table4[[#Headers],[ID]])</f>
        <v>1</v>
      </c>
      <c r="B4" s="41" t="s">
        <v>62</v>
      </c>
      <c r="C4" s="44">
        <v>1234567890</v>
      </c>
      <c r="D4" s="44">
        <v>9876543210</v>
      </c>
      <c r="E4" s="44" t="s">
        <v>63</v>
      </c>
      <c r="F4" s="44" t="s">
        <v>64</v>
      </c>
    </row>
    <row r="5" spans="1:9" ht="16.2" customHeight="1" x14ac:dyDescent="0.3">
      <c r="A5" s="41">
        <f>ROW(Table4[[#This Row],[ID]])-ROW(Table4[[#Headers],[ID]])</f>
        <v>2</v>
      </c>
      <c r="B5" s="41" t="s">
        <v>65</v>
      </c>
      <c r="C5" s="44">
        <v>9876543210</v>
      </c>
      <c r="D5" s="44">
        <v>1234567890</v>
      </c>
      <c r="E5" s="44" t="s">
        <v>66</v>
      </c>
      <c r="F5" s="44" t="s">
        <v>67</v>
      </c>
    </row>
    <row r="6" spans="1:9" ht="16.2" customHeight="1" x14ac:dyDescent="0.3">
      <c r="A6" s="41">
        <f>ROW(Table4[[#This Row],[ID]])-ROW(Table4[[#Headers],[ID]])</f>
        <v>3</v>
      </c>
      <c r="B6" s="41" t="s">
        <v>68</v>
      </c>
      <c r="C6" s="44">
        <v>4567891230</v>
      </c>
      <c r="D6" s="44">
        <v>3219876540</v>
      </c>
      <c r="E6" s="44" t="s">
        <v>69</v>
      </c>
      <c r="F6" s="44" t="s">
        <v>70</v>
      </c>
    </row>
    <row r="7" spans="1:9" ht="16.2" customHeight="1" x14ac:dyDescent="0.3">
      <c r="A7" s="41">
        <f>ROW(Table4[[#This Row],[ID]])-ROW(Table4[[#Headers],[ID]])</f>
        <v>4</v>
      </c>
      <c r="B7" s="41" t="s">
        <v>71</v>
      </c>
      <c r="C7" s="44">
        <v>7891234560</v>
      </c>
      <c r="D7" s="44">
        <v>6543219870</v>
      </c>
      <c r="E7" s="44" t="s">
        <v>72</v>
      </c>
      <c r="F7" s="44" t="s">
        <v>73</v>
      </c>
    </row>
    <row r="8" spans="1:9" ht="16.2" customHeight="1" x14ac:dyDescent="0.3">
      <c r="A8" s="41">
        <f>ROW(Table4[[#This Row],[ID]])-ROW(Table4[[#Headers],[ID]])</f>
        <v>5</v>
      </c>
      <c r="B8" s="41" t="s">
        <v>74</v>
      </c>
      <c r="C8" s="44">
        <v>2345678901</v>
      </c>
      <c r="D8" s="44">
        <v>8765432109</v>
      </c>
      <c r="E8" s="44" t="s">
        <v>75</v>
      </c>
      <c r="F8" s="44" t="s">
        <v>76</v>
      </c>
    </row>
    <row r="9" spans="1:9" ht="16.2" customHeight="1" x14ac:dyDescent="0.3">
      <c r="A9" s="41">
        <f>ROW(Table4[[#This Row],[ID]])-ROW(Table4[[#Headers],[ID]])</f>
        <v>6</v>
      </c>
      <c r="B9" s="41" t="s">
        <v>77</v>
      </c>
      <c r="C9" s="44">
        <v>6789012345</v>
      </c>
      <c r="D9" s="44">
        <v>1098765432</v>
      </c>
      <c r="E9" s="44" t="s">
        <v>78</v>
      </c>
      <c r="F9" s="44" t="s">
        <v>79</v>
      </c>
    </row>
    <row r="10" spans="1:9" ht="16.2" customHeight="1" x14ac:dyDescent="0.3">
      <c r="A10" s="41">
        <f>ROW(Table4[[#This Row],[ID]])-ROW(Table4[[#Headers],[ID]])</f>
        <v>7</v>
      </c>
      <c r="B10" s="41" t="s">
        <v>80</v>
      </c>
      <c r="C10" s="44">
        <v>3456789120</v>
      </c>
      <c r="D10" s="44">
        <v>4321098760</v>
      </c>
      <c r="E10" s="44" t="s">
        <v>81</v>
      </c>
      <c r="F10" s="44" t="s">
        <v>82</v>
      </c>
    </row>
    <row r="11" spans="1:9" ht="16.2" customHeight="1" x14ac:dyDescent="0.3">
      <c r="A11" s="41">
        <f>ROW(Table4[[#This Row],[ID]])-ROW(Table4[[#Headers],[ID]])</f>
        <v>8</v>
      </c>
      <c r="B11" s="41" t="s">
        <v>83</v>
      </c>
      <c r="C11" s="44">
        <v>8901234567</v>
      </c>
      <c r="D11" s="44">
        <v>2109876543</v>
      </c>
      <c r="E11" s="44" t="s">
        <v>84</v>
      </c>
      <c r="F11" s="44" t="s">
        <v>85</v>
      </c>
    </row>
    <row r="12" spans="1:9" ht="16.2" customHeight="1" x14ac:dyDescent="0.3">
      <c r="A12" s="41">
        <f>ROW(Table4[[#This Row],[ID]])-ROW(Table4[[#Headers],[ID]])</f>
        <v>9</v>
      </c>
      <c r="B12" s="41" t="s">
        <v>86</v>
      </c>
      <c r="C12" s="44">
        <v>5678901234</v>
      </c>
      <c r="D12" s="44">
        <v>7654321098</v>
      </c>
      <c r="E12" s="44" t="s">
        <v>87</v>
      </c>
      <c r="F12" s="44" t="s">
        <v>88</v>
      </c>
    </row>
    <row r="13" spans="1:9" ht="16.2" customHeight="1" x14ac:dyDescent="0.3">
      <c r="A13" s="41">
        <f>ROW(Table4[[#This Row],[ID]])-ROW(Table4[[#Headers],[ID]])</f>
        <v>10</v>
      </c>
      <c r="B13" s="41" t="s">
        <v>89</v>
      </c>
      <c r="C13" s="44">
        <v>9012345678</v>
      </c>
      <c r="D13" s="44">
        <v>5432109876</v>
      </c>
      <c r="E13" s="44" t="s">
        <v>90</v>
      </c>
      <c r="F13" s="44" t="s">
        <v>91</v>
      </c>
    </row>
    <row r="14" spans="1:9" ht="16.2" customHeight="1" x14ac:dyDescent="0.3"/>
    <row r="15" spans="1:9" ht="16.2" customHeight="1" x14ac:dyDescent="0.3"/>
    <row r="16" spans="1:9" ht="16.2" customHeight="1" x14ac:dyDescent="0.3"/>
    <row r="17" ht="16.2" customHeight="1" x14ac:dyDescent="0.3"/>
    <row r="18" ht="16.2" customHeight="1" x14ac:dyDescent="0.3"/>
    <row r="19" ht="16.2" customHeight="1" x14ac:dyDescent="0.3"/>
    <row r="20" ht="16.2" customHeight="1" x14ac:dyDescent="0.3"/>
    <row r="21" ht="16.2" customHeight="1" x14ac:dyDescent="0.3"/>
    <row r="22" ht="16.2" customHeight="1" x14ac:dyDescent="0.3"/>
    <row r="23" ht="16.2" customHeight="1" x14ac:dyDescent="0.3"/>
    <row r="24" ht="16.2" customHeight="1" x14ac:dyDescent="0.3"/>
    <row r="25" ht="16.2" customHeight="1" x14ac:dyDescent="0.3"/>
    <row r="26" ht="16.2" customHeight="1" x14ac:dyDescent="0.3"/>
    <row r="27" ht="16.2" customHeight="1" x14ac:dyDescent="0.3"/>
    <row r="28" ht="16.2" customHeight="1" x14ac:dyDescent="0.3"/>
    <row r="29" ht="16.2" customHeight="1" x14ac:dyDescent="0.3"/>
    <row r="30" ht="16.2" customHeight="1" x14ac:dyDescent="0.3"/>
    <row r="31" ht="16.2" customHeight="1" x14ac:dyDescent="0.3"/>
    <row r="32" ht="16.2" customHeight="1" x14ac:dyDescent="0.3"/>
    <row r="33" ht="16.2" customHeight="1" x14ac:dyDescent="0.3"/>
    <row r="34" ht="16.2" customHeight="1" x14ac:dyDescent="0.3"/>
    <row r="35" ht="16.2" customHeight="1" x14ac:dyDescent="0.3"/>
    <row r="36" ht="16.2" customHeight="1" x14ac:dyDescent="0.3"/>
    <row r="37" ht="16.2" customHeight="1" x14ac:dyDescent="0.3"/>
    <row r="38" ht="16.2" customHeight="1" x14ac:dyDescent="0.3"/>
    <row r="39" ht="16.2" customHeight="1" x14ac:dyDescent="0.3"/>
    <row r="40" ht="16.2" customHeight="1" x14ac:dyDescent="0.3"/>
    <row r="41" ht="16.2" customHeight="1" x14ac:dyDescent="0.3"/>
    <row r="42" ht="16.2" customHeight="1" x14ac:dyDescent="0.3"/>
    <row r="43" ht="16.2" customHeight="1" x14ac:dyDescent="0.3"/>
    <row r="44" ht="16.2" customHeight="1" x14ac:dyDescent="0.3"/>
    <row r="45" ht="16.2" customHeight="1" x14ac:dyDescent="0.3"/>
    <row r="46" ht="16.2" customHeight="1" x14ac:dyDescent="0.3"/>
    <row r="47" ht="16.2" customHeight="1" x14ac:dyDescent="0.3"/>
    <row r="48" ht="16.2" customHeight="1" x14ac:dyDescent="0.3"/>
    <row r="49" ht="16.2" customHeight="1" x14ac:dyDescent="0.3"/>
    <row r="50" ht="16.2" customHeight="1" x14ac:dyDescent="0.3"/>
    <row r="51" ht="16.2" customHeight="1" x14ac:dyDescent="0.3"/>
    <row r="52" ht="16.2" customHeight="1" x14ac:dyDescent="0.3"/>
    <row r="53" ht="16.2" customHeight="1" x14ac:dyDescent="0.3"/>
    <row r="54" ht="16.2" customHeight="1" x14ac:dyDescent="0.3"/>
    <row r="55" ht="16.2" customHeight="1" x14ac:dyDescent="0.3"/>
    <row r="56" ht="16.2" customHeight="1" x14ac:dyDescent="0.3"/>
    <row r="57" ht="16.2" customHeight="1" x14ac:dyDescent="0.3"/>
    <row r="58" ht="16.2" customHeight="1" x14ac:dyDescent="0.3"/>
    <row r="59" ht="16.2" customHeight="1" x14ac:dyDescent="0.3"/>
    <row r="60" ht="16.2" customHeight="1" x14ac:dyDescent="0.3"/>
    <row r="61" ht="16.2" customHeight="1" x14ac:dyDescent="0.3"/>
    <row r="62" ht="16.2" customHeight="1" x14ac:dyDescent="0.3"/>
    <row r="63" ht="16.2" customHeight="1" x14ac:dyDescent="0.3"/>
    <row r="64" ht="16.2" customHeight="1" x14ac:dyDescent="0.3"/>
    <row r="65" ht="16.2" customHeight="1" x14ac:dyDescent="0.3"/>
    <row r="66" ht="16.2" customHeight="1" x14ac:dyDescent="0.3"/>
    <row r="67" ht="16.2" customHeight="1" x14ac:dyDescent="0.3"/>
    <row r="68" ht="16.2" customHeight="1" x14ac:dyDescent="0.3"/>
    <row r="69" ht="16.2" customHeight="1" x14ac:dyDescent="0.3"/>
    <row r="70" ht="16.2" customHeight="1" x14ac:dyDescent="0.3"/>
    <row r="71" ht="16.2" customHeight="1" x14ac:dyDescent="0.3"/>
    <row r="72" ht="16.2" customHeight="1" x14ac:dyDescent="0.3"/>
    <row r="73" ht="16.2" customHeight="1" x14ac:dyDescent="0.3"/>
    <row r="74" ht="16.2" customHeight="1" x14ac:dyDescent="0.3"/>
    <row r="75" ht="16.2" customHeight="1" x14ac:dyDescent="0.3"/>
    <row r="76" ht="16.2" customHeight="1" x14ac:dyDescent="0.3"/>
    <row r="77" ht="16.2" customHeight="1" x14ac:dyDescent="0.3"/>
    <row r="78" ht="16.2" customHeight="1" x14ac:dyDescent="0.3"/>
    <row r="79" ht="16.2" customHeight="1" x14ac:dyDescent="0.3"/>
    <row r="80" ht="16.2" customHeight="1" x14ac:dyDescent="0.3"/>
    <row r="81" ht="16.2" customHeight="1" x14ac:dyDescent="0.3"/>
    <row r="82" ht="16.2" customHeight="1" x14ac:dyDescent="0.3"/>
    <row r="83" ht="16.2" customHeight="1" x14ac:dyDescent="0.3"/>
    <row r="84" ht="16.2" customHeight="1" x14ac:dyDescent="0.3"/>
    <row r="85" ht="16.2" customHeight="1" x14ac:dyDescent="0.3"/>
    <row r="86" ht="16.2" customHeight="1" x14ac:dyDescent="0.3"/>
    <row r="87" ht="16.2" customHeight="1" x14ac:dyDescent="0.3"/>
    <row r="88" ht="16.2" customHeight="1" x14ac:dyDescent="0.3"/>
    <row r="89" ht="16.2" customHeight="1" x14ac:dyDescent="0.3"/>
    <row r="90" ht="16.2" customHeight="1" x14ac:dyDescent="0.3"/>
    <row r="91" ht="16.2" customHeight="1" x14ac:dyDescent="0.3"/>
    <row r="92" ht="16.2" customHeight="1" x14ac:dyDescent="0.3"/>
    <row r="93" ht="16.2" customHeight="1" x14ac:dyDescent="0.3"/>
    <row r="94" ht="16.2" customHeight="1" x14ac:dyDescent="0.3"/>
    <row r="95" ht="16.2" customHeight="1" x14ac:dyDescent="0.3"/>
    <row r="96" ht="16.2" customHeight="1" x14ac:dyDescent="0.3"/>
    <row r="97" ht="16.2" customHeight="1" x14ac:dyDescent="0.3"/>
    <row r="98" ht="16.2" customHeight="1" x14ac:dyDescent="0.3"/>
    <row r="99" ht="16.2" customHeight="1" x14ac:dyDescent="0.3"/>
    <row r="100" ht="16.2" customHeight="1" x14ac:dyDescent="0.3"/>
    <row r="101" ht="16.2" customHeight="1" x14ac:dyDescent="0.3"/>
    <row r="102" ht="16.2" customHeight="1" x14ac:dyDescent="0.3"/>
    <row r="103" ht="16.2" customHeight="1" x14ac:dyDescent="0.3"/>
    <row r="104" ht="16.2" customHeight="1" x14ac:dyDescent="0.3"/>
    <row r="105" ht="16.2" customHeight="1" x14ac:dyDescent="0.3"/>
    <row r="106" ht="16.2" customHeight="1" x14ac:dyDescent="0.3"/>
    <row r="107" ht="16.2" customHeight="1" x14ac:dyDescent="0.3"/>
    <row r="108" ht="16.2" customHeight="1" x14ac:dyDescent="0.3"/>
    <row r="109" ht="16.2" customHeight="1" x14ac:dyDescent="0.3"/>
    <row r="110" ht="16.2" customHeight="1" x14ac:dyDescent="0.3"/>
    <row r="111" ht="16.2" customHeight="1" x14ac:dyDescent="0.3"/>
    <row r="112" ht="16.2" customHeight="1" x14ac:dyDescent="0.3"/>
    <row r="113" ht="16.2" customHeight="1" x14ac:dyDescent="0.3"/>
    <row r="114" ht="16.2" customHeight="1" x14ac:dyDescent="0.3"/>
    <row r="115" ht="16.2" customHeight="1" x14ac:dyDescent="0.3"/>
    <row r="116" ht="16.2" customHeight="1" x14ac:dyDescent="0.3"/>
    <row r="117" ht="16.2" customHeight="1" x14ac:dyDescent="0.3"/>
    <row r="118" ht="16.2" customHeight="1" x14ac:dyDescent="0.3"/>
    <row r="119" ht="16.2" customHeight="1" x14ac:dyDescent="0.3"/>
    <row r="120" ht="16.2" customHeight="1" x14ac:dyDescent="0.3"/>
    <row r="121" ht="16.2" customHeight="1" x14ac:dyDescent="0.3"/>
    <row r="122" ht="16.2" customHeight="1" x14ac:dyDescent="0.3"/>
    <row r="123" ht="16.2" customHeight="1" x14ac:dyDescent="0.3"/>
    <row r="124" ht="16.2" customHeight="1" x14ac:dyDescent="0.3"/>
    <row r="125" ht="16.2" customHeight="1" x14ac:dyDescent="0.3"/>
    <row r="126" ht="16.2" customHeight="1" x14ac:dyDescent="0.3"/>
    <row r="127" ht="16.2" customHeight="1" x14ac:dyDescent="0.3"/>
    <row r="128" ht="16.2" customHeight="1" x14ac:dyDescent="0.3"/>
    <row r="129" ht="16.2" customHeight="1" x14ac:dyDescent="0.3"/>
    <row r="130" ht="16.2" customHeight="1" x14ac:dyDescent="0.3"/>
    <row r="131" ht="16.2" customHeight="1" x14ac:dyDescent="0.3"/>
    <row r="132" ht="16.2" customHeight="1" x14ac:dyDescent="0.3"/>
    <row r="133" ht="16.2" customHeight="1" x14ac:dyDescent="0.3"/>
    <row r="134" ht="16.2" customHeight="1" x14ac:dyDescent="0.3"/>
    <row r="135" ht="16.2" customHeight="1" x14ac:dyDescent="0.3"/>
    <row r="136" ht="16.2" customHeight="1" x14ac:dyDescent="0.3"/>
    <row r="137" ht="16.2" customHeight="1" x14ac:dyDescent="0.3"/>
    <row r="138" ht="16.2" customHeight="1" x14ac:dyDescent="0.3"/>
    <row r="139" ht="16.2" customHeight="1" x14ac:dyDescent="0.3"/>
    <row r="140" ht="16.2" customHeight="1" x14ac:dyDescent="0.3"/>
    <row r="141" ht="16.2" customHeight="1" x14ac:dyDescent="0.3"/>
    <row r="142" ht="16.2" customHeight="1" x14ac:dyDescent="0.3"/>
    <row r="143" ht="16.2" customHeight="1" x14ac:dyDescent="0.3"/>
    <row r="144" ht="16.2" customHeight="1" x14ac:dyDescent="0.3"/>
    <row r="145" ht="16.2" customHeight="1" x14ac:dyDescent="0.3"/>
    <row r="146" ht="16.2" customHeight="1" x14ac:dyDescent="0.3"/>
    <row r="147" ht="16.2" customHeight="1" x14ac:dyDescent="0.3"/>
    <row r="148" ht="16.2" customHeight="1" x14ac:dyDescent="0.3"/>
    <row r="149" ht="16.2" customHeight="1" x14ac:dyDescent="0.3"/>
    <row r="150" ht="16.2" customHeight="1" x14ac:dyDescent="0.3"/>
    <row r="151" ht="16.2" customHeight="1" x14ac:dyDescent="0.3"/>
    <row r="152" ht="16.2" customHeight="1" x14ac:dyDescent="0.3"/>
    <row r="153" ht="16.2" customHeight="1" x14ac:dyDescent="0.3"/>
    <row r="154" ht="16.2" customHeight="1" x14ac:dyDescent="0.3"/>
    <row r="155" ht="16.2" customHeight="1" x14ac:dyDescent="0.3"/>
    <row r="156" ht="16.2" customHeight="1" x14ac:dyDescent="0.3"/>
    <row r="157" ht="16.2" customHeight="1" x14ac:dyDescent="0.3"/>
    <row r="158" ht="16.2" customHeight="1" x14ac:dyDescent="0.3"/>
    <row r="159" ht="16.2" customHeight="1" x14ac:dyDescent="0.3"/>
    <row r="160" ht="16.2" customHeight="1" x14ac:dyDescent="0.3"/>
    <row r="161" ht="16.2" customHeight="1" x14ac:dyDescent="0.3"/>
    <row r="162" ht="16.2" customHeight="1" x14ac:dyDescent="0.3"/>
    <row r="163" ht="16.2" customHeight="1" x14ac:dyDescent="0.3"/>
    <row r="164" ht="16.2" customHeight="1" x14ac:dyDescent="0.3"/>
    <row r="165" ht="16.2" customHeight="1" x14ac:dyDescent="0.3"/>
    <row r="166" ht="16.2" customHeight="1" x14ac:dyDescent="0.3"/>
    <row r="167" ht="16.2" customHeight="1" x14ac:dyDescent="0.3"/>
    <row r="168" ht="16.2" customHeight="1" x14ac:dyDescent="0.3"/>
    <row r="169" ht="16.2" customHeight="1" x14ac:dyDescent="0.3"/>
    <row r="170" ht="16.2" customHeight="1" x14ac:dyDescent="0.3"/>
    <row r="171" ht="16.2" customHeight="1" x14ac:dyDescent="0.3"/>
    <row r="172" ht="16.2" customHeight="1" x14ac:dyDescent="0.3"/>
    <row r="173" ht="16.2" customHeight="1" x14ac:dyDescent="0.3"/>
    <row r="174" ht="16.2" customHeight="1" x14ac:dyDescent="0.3"/>
    <row r="175" ht="16.2" customHeight="1" x14ac:dyDescent="0.3"/>
    <row r="176" ht="16.2" customHeight="1" x14ac:dyDescent="0.3"/>
    <row r="177" ht="16.2" customHeight="1" x14ac:dyDescent="0.3"/>
    <row r="178" ht="16.2" customHeight="1" x14ac:dyDescent="0.3"/>
    <row r="179" ht="16.2" customHeight="1" x14ac:dyDescent="0.3"/>
    <row r="180" ht="16.2" customHeight="1" x14ac:dyDescent="0.3"/>
    <row r="181" ht="16.2" customHeight="1" x14ac:dyDescent="0.3"/>
    <row r="182" ht="16.2" customHeight="1" x14ac:dyDescent="0.3"/>
    <row r="183" ht="16.2" customHeight="1" x14ac:dyDescent="0.3"/>
    <row r="184" ht="16.2" customHeight="1" x14ac:dyDescent="0.3"/>
    <row r="185" ht="16.2" customHeight="1" x14ac:dyDescent="0.3"/>
    <row r="186" ht="16.2" customHeight="1" x14ac:dyDescent="0.3"/>
    <row r="187" ht="16.2" customHeight="1" x14ac:dyDescent="0.3"/>
    <row r="188" ht="16.2" customHeight="1" x14ac:dyDescent="0.3"/>
    <row r="189" ht="16.2" customHeight="1" x14ac:dyDescent="0.3"/>
    <row r="190" ht="16.2" customHeight="1" x14ac:dyDescent="0.3"/>
    <row r="191" ht="16.2" customHeight="1" x14ac:dyDescent="0.3"/>
    <row r="192" ht="16.2" customHeight="1" x14ac:dyDescent="0.3"/>
    <row r="193" ht="16.2" customHeight="1" x14ac:dyDescent="0.3"/>
    <row r="194" ht="16.2" customHeight="1" x14ac:dyDescent="0.3"/>
    <row r="195" ht="16.2" customHeight="1" x14ac:dyDescent="0.3"/>
    <row r="196" ht="16.2" customHeight="1" x14ac:dyDescent="0.3"/>
    <row r="197" ht="16.2" customHeight="1" x14ac:dyDescent="0.3"/>
    <row r="198" ht="16.2" customHeight="1" x14ac:dyDescent="0.3"/>
    <row r="199" ht="16.2" customHeight="1" x14ac:dyDescent="0.3"/>
    <row r="200" ht="16.2" customHeight="1" x14ac:dyDescent="0.3"/>
    <row r="201" ht="16.2" customHeight="1" x14ac:dyDescent="0.3"/>
    <row r="202" ht="16.2" customHeight="1" x14ac:dyDescent="0.3"/>
    <row r="203" ht="16.2" customHeight="1" x14ac:dyDescent="0.3"/>
    <row r="204" ht="16.2" customHeight="1" x14ac:dyDescent="0.3"/>
    <row r="205" ht="16.2" customHeight="1" x14ac:dyDescent="0.3"/>
    <row r="206" ht="16.2" customHeight="1" x14ac:dyDescent="0.3"/>
    <row r="207" ht="16.2" customHeight="1" x14ac:dyDescent="0.3"/>
    <row r="208" ht="16.2" customHeight="1" x14ac:dyDescent="0.3"/>
    <row r="209" ht="16.2" customHeight="1" x14ac:dyDescent="0.3"/>
    <row r="210" ht="16.2" customHeight="1" x14ac:dyDescent="0.3"/>
    <row r="211" ht="16.2" customHeight="1" x14ac:dyDescent="0.3"/>
    <row r="212" ht="16.2" customHeight="1" x14ac:dyDescent="0.3"/>
    <row r="213" ht="16.2" customHeight="1" x14ac:dyDescent="0.3"/>
    <row r="214" ht="16.2" customHeight="1" x14ac:dyDescent="0.3"/>
    <row r="215" ht="16.2" customHeight="1" x14ac:dyDescent="0.3"/>
    <row r="216" ht="16.2" customHeight="1" x14ac:dyDescent="0.3"/>
    <row r="217" ht="16.2" customHeight="1" x14ac:dyDescent="0.3"/>
    <row r="218" ht="16.2" customHeight="1" x14ac:dyDescent="0.3"/>
    <row r="219" ht="16.2" customHeight="1" x14ac:dyDescent="0.3"/>
    <row r="220" ht="16.2" customHeight="1" x14ac:dyDescent="0.3"/>
    <row r="221" ht="16.2" customHeight="1" x14ac:dyDescent="0.3"/>
    <row r="222" ht="16.2" customHeight="1" x14ac:dyDescent="0.3"/>
    <row r="223" ht="16.2" customHeight="1" x14ac:dyDescent="0.3"/>
    <row r="224" ht="16.2" customHeight="1" x14ac:dyDescent="0.3"/>
    <row r="225" ht="16.2" customHeight="1" x14ac:dyDescent="0.3"/>
    <row r="226" ht="16.2" customHeight="1" x14ac:dyDescent="0.3"/>
    <row r="227" ht="16.2" customHeight="1" x14ac:dyDescent="0.3"/>
    <row r="228" ht="16.2" customHeight="1" x14ac:dyDescent="0.3"/>
    <row r="229" ht="16.2" customHeight="1" x14ac:dyDescent="0.3"/>
    <row r="230" ht="16.2" customHeight="1" x14ac:dyDescent="0.3"/>
    <row r="231" ht="16.2" customHeight="1" x14ac:dyDescent="0.3"/>
    <row r="232" ht="16.2" customHeight="1" x14ac:dyDescent="0.3"/>
    <row r="233" ht="16.2" customHeight="1" x14ac:dyDescent="0.3"/>
    <row r="234" ht="16.2" customHeight="1" x14ac:dyDescent="0.3"/>
    <row r="235" ht="16.2" customHeight="1" x14ac:dyDescent="0.3"/>
    <row r="236" ht="16.2" customHeight="1" x14ac:dyDescent="0.3"/>
    <row r="237" ht="16.2" customHeight="1" x14ac:dyDescent="0.3"/>
    <row r="238" ht="16.2" customHeight="1" x14ac:dyDescent="0.3"/>
    <row r="239" ht="16.2" customHeight="1" x14ac:dyDescent="0.3"/>
    <row r="240" ht="16.2" customHeight="1" x14ac:dyDescent="0.3"/>
    <row r="241" ht="16.2" customHeight="1" x14ac:dyDescent="0.3"/>
    <row r="242" ht="16.2" customHeight="1" x14ac:dyDescent="0.3"/>
    <row r="243" ht="16.2" customHeight="1" x14ac:dyDescent="0.3"/>
    <row r="244" ht="16.2" customHeight="1" x14ac:dyDescent="0.3"/>
    <row r="245" ht="16.2" customHeight="1" x14ac:dyDescent="0.3"/>
    <row r="246" ht="16.2" customHeight="1" x14ac:dyDescent="0.3"/>
    <row r="247" ht="16.2" customHeight="1" x14ac:dyDescent="0.3"/>
    <row r="248" ht="16.2" customHeight="1" x14ac:dyDescent="0.3"/>
    <row r="249" ht="16.2" customHeight="1" x14ac:dyDescent="0.3"/>
    <row r="250" ht="16.2" customHeight="1" x14ac:dyDescent="0.3"/>
    <row r="251" ht="16.2" customHeight="1" x14ac:dyDescent="0.3"/>
    <row r="252" ht="16.2" customHeight="1" x14ac:dyDescent="0.3"/>
    <row r="253" ht="16.2" customHeight="1" x14ac:dyDescent="0.3"/>
    <row r="254" ht="16.2" customHeight="1" x14ac:dyDescent="0.3"/>
    <row r="255" ht="16.2" customHeight="1" x14ac:dyDescent="0.3"/>
    <row r="256" ht="16.2" customHeight="1" x14ac:dyDescent="0.3"/>
    <row r="257" ht="16.2" customHeight="1" x14ac:dyDescent="0.3"/>
    <row r="258" ht="16.2" customHeight="1" x14ac:dyDescent="0.3"/>
    <row r="259" ht="16.2" customHeight="1" x14ac:dyDescent="0.3"/>
    <row r="260" ht="16.2" customHeight="1" x14ac:dyDescent="0.3"/>
    <row r="261" ht="16.2" customHeight="1" x14ac:dyDescent="0.3"/>
    <row r="262" ht="16.2" customHeight="1" x14ac:dyDescent="0.3"/>
    <row r="263" ht="16.2" customHeight="1" x14ac:dyDescent="0.3"/>
    <row r="264" ht="16.2" customHeight="1" x14ac:dyDescent="0.3"/>
    <row r="265" ht="16.2" customHeight="1" x14ac:dyDescent="0.3"/>
    <row r="266" ht="16.2" customHeight="1" x14ac:dyDescent="0.3"/>
    <row r="267" ht="16.2" customHeight="1" x14ac:dyDescent="0.3"/>
    <row r="268" ht="16.2" customHeight="1" x14ac:dyDescent="0.3"/>
    <row r="269" ht="16.2" customHeight="1" x14ac:dyDescent="0.3"/>
    <row r="270" ht="16.2" customHeight="1" x14ac:dyDescent="0.3"/>
    <row r="271" ht="16.2" customHeight="1" x14ac:dyDescent="0.3"/>
    <row r="272" ht="16.2" customHeight="1" x14ac:dyDescent="0.3"/>
    <row r="273" ht="16.2" customHeight="1" x14ac:dyDescent="0.3"/>
    <row r="274" ht="16.2" customHeight="1" x14ac:dyDescent="0.3"/>
    <row r="275" ht="16.2" customHeight="1" x14ac:dyDescent="0.3"/>
    <row r="276" ht="16.2" customHeight="1" x14ac:dyDescent="0.3"/>
    <row r="277" ht="16.2" customHeight="1" x14ac:dyDescent="0.3"/>
    <row r="278" ht="16.2" customHeight="1" x14ac:dyDescent="0.3"/>
    <row r="279" ht="16.2" customHeight="1" x14ac:dyDescent="0.3"/>
    <row r="280" ht="16.2" customHeight="1" x14ac:dyDescent="0.3"/>
    <row r="281" ht="16.2" customHeight="1" x14ac:dyDescent="0.3"/>
    <row r="282" ht="16.2" customHeight="1" x14ac:dyDescent="0.3"/>
    <row r="283" ht="16.2" customHeight="1" x14ac:dyDescent="0.3"/>
    <row r="284" ht="16.2" customHeight="1" x14ac:dyDescent="0.3"/>
    <row r="285" ht="16.2" customHeight="1" x14ac:dyDescent="0.3"/>
    <row r="286" ht="16.2" customHeight="1" x14ac:dyDescent="0.3"/>
    <row r="287" ht="16.2" customHeight="1" x14ac:dyDescent="0.3"/>
    <row r="288" ht="16.2" customHeight="1" x14ac:dyDescent="0.3"/>
    <row r="289" ht="16.2" customHeight="1" x14ac:dyDescent="0.3"/>
    <row r="290" ht="16.2" customHeight="1" x14ac:dyDescent="0.3"/>
    <row r="291" ht="16.2" customHeight="1" x14ac:dyDescent="0.3"/>
    <row r="292" ht="16.2" customHeight="1" x14ac:dyDescent="0.3"/>
    <row r="293" ht="16.2" customHeight="1" x14ac:dyDescent="0.3"/>
    <row r="294" ht="16.2" customHeight="1" x14ac:dyDescent="0.3"/>
    <row r="295" ht="16.2" customHeight="1" x14ac:dyDescent="0.3"/>
    <row r="296" ht="16.2" customHeight="1" x14ac:dyDescent="0.3"/>
    <row r="297" ht="16.2" customHeight="1" x14ac:dyDescent="0.3"/>
    <row r="298" ht="16.2" customHeight="1" x14ac:dyDescent="0.3"/>
    <row r="299" ht="16.2" customHeight="1" x14ac:dyDescent="0.3"/>
    <row r="300" ht="16.2" customHeight="1" x14ac:dyDescent="0.3"/>
    <row r="301" ht="16.2" customHeight="1" x14ac:dyDescent="0.3"/>
    <row r="302" ht="16.2" customHeight="1" x14ac:dyDescent="0.3"/>
    <row r="303" ht="16.2" customHeight="1" x14ac:dyDescent="0.3"/>
    <row r="304" ht="16.2" customHeight="1" x14ac:dyDescent="0.3"/>
    <row r="305" ht="16.2" customHeight="1" x14ac:dyDescent="0.3"/>
    <row r="306" ht="16.2" customHeight="1" x14ac:dyDescent="0.3"/>
    <row r="307" ht="16.2" customHeight="1" x14ac:dyDescent="0.3"/>
    <row r="308" ht="16.2" customHeight="1" x14ac:dyDescent="0.3"/>
    <row r="309" ht="16.2" customHeight="1" x14ac:dyDescent="0.3"/>
    <row r="310" ht="16.2" customHeight="1" x14ac:dyDescent="0.3"/>
    <row r="311" ht="16.2" customHeight="1" x14ac:dyDescent="0.3"/>
    <row r="312" ht="16.2" customHeight="1" x14ac:dyDescent="0.3"/>
    <row r="313" ht="16.2" customHeight="1" x14ac:dyDescent="0.3"/>
    <row r="314" ht="16.2" customHeight="1" x14ac:dyDescent="0.3"/>
    <row r="315" ht="16.2" customHeight="1" x14ac:dyDescent="0.3"/>
    <row r="316" ht="16.2" customHeight="1" x14ac:dyDescent="0.3"/>
    <row r="317" ht="16.2" customHeight="1" x14ac:dyDescent="0.3"/>
    <row r="318" ht="16.2" customHeight="1" x14ac:dyDescent="0.3"/>
    <row r="319" ht="16.2" customHeight="1" x14ac:dyDescent="0.3"/>
    <row r="320" ht="16.2" customHeight="1" x14ac:dyDescent="0.3"/>
  </sheetData>
  <mergeCells count="1">
    <mergeCell ref="A1:F1"/>
  </mergeCells>
  <conditionalFormatting sqref="B4:B13">
    <cfRule type="duplicateValues" dxfId="0" priority="13"/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344E2-0D71-4C1F-AB3A-26B3856462D8}">
  <sheetPr codeName="Sheet7"/>
  <dimension ref="A1:I281"/>
  <sheetViews>
    <sheetView zoomScale="145" zoomScaleNormal="145" zoomScaleSheetLayoutView="100" workbookViewId="0">
      <pane ySplit="3" topLeftCell="A4" activePane="bottomLeft" state="frozen"/>
      <selection pane="bottomLeft" activeCell="G8" sqref="G8"/>
    </sheetView>
  </sheetViews>
  <sheetFormatPr defaultRowHeight="13.8" x14ac:dyDescent="0.3"/>
  <cols>
    <col min="1" max="1" width="7.21875" style="42" bestFit="1" customWidth="1"/>
    <col min="2" max="2" width="13.5546875" style="42" bestFit="1" customWidth="1"/>
    <col min="3" max="3" width="24.77734375" style="42" bestFit="1" customWidth="1"/>
    <col min="4" max="4" width="20.44140625" style="42" bestFit="1" customWidth="1"/>
    <col min="5" max="5" width="19.21875" style="42" bestFit="1" customWidth="1"/>
    <col min="6" max="6" width="28.109375" style="42" bestFit="1" customWidth="1"/>
    <col min="7" max="16384" width="8.88671875" style="42"/>
  </cols>
  <sheetData>
    <row r="1" spans="1:9" s="41" customFormat="1" ht="31.2" customHeight="1" x14ac:dyDescent="0.3">
      <c r="A1" s="86" t="s">
        <v>130</v>
      </c>
      <c r="B1" s="86"/>
      <c r="C1" s="86"/>
      <c r="D1" s="86"/>
      <c r="E1" s="86"/>
      <c r="F1" s="86"/>
      <c r="G1" s="43"/>
      <c r="H1" s="43"/>
      <c r="I1" s="43"/>
    </row>
    <row r="2" spans="1:9" s="41" customFormat="1" ht="6" customHeight="1" x14ac:dyDescent="0.3"/>
    <row r="3" spans="1:9" ht="23.4" customHeight="1" x14ac:dyDescent="0.3">
      <c r="A3" s="57" t="s">
        <v>32</v>
      </c>
      <c r="B3" s="57" t="s">
        <v>126</v>
      </c>
      <c r="C3" s="57" t="s">
        <v>58</v>
      </c>
      <c r="D3" s="57" t="s">
        <v>59</v>
      </c>
      <c r="E3" s="57" t="s">
        <v>60</v>
      </c>
      <c r="F3" s="57" t="s">
        <v>61</v>
      </c>
    </row>
    <row r="4" spans="1:9" ht="16.8" customHeight="1" x14ac:dyDescent="0.3">
      <c r="A4" s="57">
        <f>ROW(Table46[[#This Row],[ID]])-ROW(Table46[[#Headers],[ID]])</f>
        <v>1</v>
      </c>
      <c r="B4" s="57" t="s">
        <v>112</v>
      </c>
      <c r="C4" s="57" t="s">
        <v>113</v>
      </c>
      <c r="D4" s="57" t="s">
        <v>113</v>
      </c>
      <c r="E4" s="57" t="s">
        <v>113</v>
      </c>
      <c r="F4" s="57" t="s">
        <v>131</v>
      </c>
    </row>
    <row r="5" spans="1:9" ht="16.8" customHeight="1" x14ac:dyDescent="0.3">
      <c r="A5" s="57">
        <f>ROW(Table46[[#This Row],[ID]])-ROW(Table46[[#Headers],[ID]])</f>
        <v>2</v>
      </c>
      <c r="B5" s="57" t="s">
        <v>93</v>
      </c>
      <c r="C5" s="57">
        <v>1234567890</v>
      </c>
      <c r="D5" s="57">
        <v>9876543210</v>
      </c>
      <c r="E5" s="57" t="s">
        <v>63</v>
      </c>
      <c r="F5" s="57" t="s">
        <v>94</v>
      </c>
    </row>
    <row r="6" spans="1:9" ht="16.8" customHeight="1" x14ac:dyDescent="0.3">
      <c r="A6" s="57">
        <f>ROW(Table46[[#This Row],[ID]])-ROW(Table46[[#Headers],[ID]])</f>
        <v>3</v>
      </c>
      <c r="B6" s="57" t="s">
        <v>95</v>
      </c>
      <c r="C6" s="57">
        <v>9876543210</v>
      </c>
      <c r="D6" s="57">
        <v>1234567890</v>
      </c>
      <c r="E6" s="57" t="s">
        <v>66</v>
      </c>
      <c r="F6" s="57" t="s">
        <v>96</v>
      </c>
    </row>
    <row r="7" spans="1:9" ht="16.8" customHeight="1" x14ac:dyDescent="0.3">
      <c r="A7" s="57">
        <f>ROW(Table46[[#This Row],[ID]])-ROW(Table46[[#Headers],[ID]])</f>
        <v>4</v>
      </c>
      <c r="B7" s="57" t="s">
        <v>97</v>
      </c>
      <c r="C7" s="57">
        <v>4567891230</v>
      </c>
      <c r="D7" s="57">
        <v>3219876540</v>
      </c>
      <c r="E7" s="57" t="s">
        <v>69</v>
      </c>
      <c r="F7" s="57" t="s">
        <v>98</v>
      </c>
    </row>
    <row r="8" spans="1:9" ht="16.8" customHeight="1" x14ac:dyDescent="0.3">
      <c r="A8" s="57">
        <f>ROW(Table46[[#This Row],[ID]])-ROW(Table46[[#Headers],[ID]])</f>
        <v>5</v>
      </c>
      <c r="B8" s="57" t="s">
        <v>99</v>
      </c>
      <c r="C8" s="57">
        <v>7891234560</v>
      </c>
      <c r="D8" s="57">
        <v>6543219870</v>
      </c>
      <c r="E8" s="57" t="s">
        <v>72</v>
      </c>
      <c r="F8" s="57" t="s">
        <v>100</v>
      </c>
    </row>
    <row r="9" spans="1:9" ht="16.8" customHeight="1" x14ac:dyDescent="0.3">
      <c r="A9" s="57">
        <f>ROW(Table46[[#This Row],[ID]])-ROW(Table46[[#Headers],[ID]])</f>
        <v>6</v>
      </c>
      <c r="B9" s="57" t="s">
        <v>101</v>
      </c>
      <c r="C9" s="57">
        <v>2345678901</v>
      </c>
      <c r="D9" s="57">
        <v>8765432109</v>
      </c>
      <c r="E9" s="57" t="s">
        <v>75</v>
      </c>
      <c r="F9" s="57" t="s">
        <v>102</v>
      </c>
    </row>
    <row r="10" spans="1:9" ht="16.8" customHeight="1" x14ac:dyDescent="0.3">
      <c r="A10" s="57">
        <f>ROW(Table46[[#This Row],[ID]])-ROW(Table46[[#Headers],[ID]])</f>
        <v>7</v>
      </c>
      <c r="B10" s="57" t="s">
        <v>103</v>
      </c>
      <c r="C10" s="57">
        <v>6789012345</v>
      </c>
      <c r="D10" s="57">
        <v>1098765432</v>
      </c>
      <c r="E10" s="57" t="s">
        <v>78</v>
      </c>
      <c r="F10" s="57" t="s">
        <v>104</v>
      </c>
    </row>
    <row r="11" spans="1:9" ht="16.8" customHeight="1" x14ac:dyDescent="0.3">
      <c r="A11" s="57">
        <f>ROW(Table46[[#This Row],[ID]])-ROW(Table46[[#Headers],[ID]])</f>
        <v>8</v>
      </c>
      <c r="B11" s="57" t="s">
        <v>105</v>
      </c>
      <c r="C11" s="57">
        <v>3456789120</v>
      </c>
      <c r="D11" s="57">
        <v>4321098760</v>
      </c>
      <c r="E11" s="57" t="s">
        <v>81</v>
      </c>
      <c r="F11" s="57" t="s">
        <v>94</v>
      </c>
    </row>
    <row r="12" spans="1:9" ht="16.8" customHeight="1" x14ac:dyDescent="0.3">
      <c r="A12" s="57">
        <f>ROW(Table46[[#This Row],[ID]])-ROW(Table46[[#Headers],[ID]])</f>
        <v>9</v>
      </c>
      <c r="B12" s="57" t="s">
        <v>106</v>
      </c>
      <c r="C12" s="57">
        <v>8901234567</v>
      </c>
      <c r="D12" s="57">
        <v>2109876543</v>
      </c>
      <c r="E12" s="57" t="s">
        <v>84</v>
      </c>
      <c r="F12" s="57" t="s">
        <v>107</v>
      </c>
    </row>
    <row r="13" spans="1:9" ht="16.8" customHeight="1" x14ac:dyDescent="0.3">
      <c r="A13" s="57">
        <f>ROW(Table46[[#This Row],[ID]])-ROW(Table46[[#Headers],[ID]])</f>
        <v>10</v>
      </c>
      <c r="B13" s="57" t="s">
        <v>108</v>
      </c>
      <c r="C13" s="57">
        <v>5678901234</v>
      </c>
      <c r="D13" s="57">
        <v>7654321098</v>
      </c>
      <c r="E13" s="57" t="s">
        <v>87</v>
      </c>
      <c r="F13" s="57" t="s">
        <v>109</v>
      </c>
    </row>
    <row r="14" spans="1:9" ht="16.8" customHeight="1" x14ac:dyDescent="0.3">
      <c r="A14" s="57">
        <f>ROW(Table46[[#This Row],[ID]])-ROW(Table46[[#Headers],[ID]])</f>
        <v>11</v>
      </c>
      <c r="B14" s="57" t="s">
        <v>110</v>
      </c>
      <c r="C14" s="57">
        <v>9012345678</v>
      </c>
      <c r="D14" s="57">
        <v>5432109876</v>
      </c>
      <c r="E14" s="57" t="s">
        <v>90</v>
      </c>
      <c r="F14" s="57" t="s">
        <v>111</v>
      </c>
    </row>
    <row r="15" spans="1:9" ht="16.8" customHeight="1" x14ac:dyDescent="0.3"/>
    <row r="16" spans="1:9" ht="16.8" customHeight="1" x14ac:dyDescent="0.3"/>
    <row r="17" ht="16.8" customHeight="1" x14ac:dyDescent="0.3"/>
    <row r="18" ht="16.8" customHeight="1" x14ac:dyDescent="0.3"/>
    <row r="19" ht="16.8" customHeight="1" x14ac:dyDescent="0.3"/>
    <row r="20" ht="16.8" customHeight="1" x14ac:dyDescent="0.3"/>
    <row r="21" ht="16.8" customHeight="1" x14ac:dyDescent="0.3"/>
    <row r="22" ht="16.8" customHeight="1" x14ac:dyDescent="0.3"/>
    <row r="23" ht="16.8" customHeight="1" x14ac:dyDescent="0.3"/>
    <row r="24" ht="16.8" customHeight="1" x14ac:dyDescent="0.3"/>
    <row r="25" ht="16.8" customHeight="1" x14ac:dyDescent="0.3"/>
    <row r="26" ht="16.8" customHeight="1" x14ac:dyDescent="0.3"/>
    <row r="27" ht="16.8" customHeight="1" x14ac:dyDescent="0.3"/>
    <row r="28" ht="16.8" customHeight="1" x14ac:dyDescent="0.3"/>
    <row r="29" ht="16.8" customHeight="1" x14ac:dyDescent="0.3"/>
    <row r="30" ht="16.8" customHeight="1" x14ac:dyDescent="0.3"/>
    <row r="31" ht="16.8" customHeight="1" x14ac:dyDescent="0.3"/>
    <row r="32" ht="16.8" customHeight="1" x14ac:dyDescent="0.3"/>
    <row r="33" ht="16.8" customHeight="1" x14ac:dyDescent="0.3"/>
    <row r="34" ht="16.8" customHeight="1" x14ac:dyDescent="0.3"/>
    <row r="35" ht="16.8" customHeight="1" x14ac:dyDescent="0.3"/>
    <row r="36" ht="16.8" customHeight="1" x14ac:dyDescent="0.3"/>
    <row r="37" ht="16.8" customHeight="1" x14ac:dyDescent="0.3"/>
    <row r="38" ht="16.8" customHeight="1" x14ac:dyDescent="0.3"/>
    <row r="39" ht="16.8" customHeight="1" x14ac:dyDescent="0.3"/>
    <row r="40" ht="16.8" customHeight="1" x14ac:dyDescent="0.3"/>
    <row r="41" ht="16.8" customHeight="1" x14ac:dyDescent="0.3"/>
    <row r="42" ht="16.8" customHeight="1" x14ac:dyDescent="0.3"/>
    <row r="43" ht="16.8" customHeight="1" x14ac:dyDescent="0.3"/>
    <row r="44" ht="16.8" customHeight="1" x14ac:dyDescent="0.3"/>
    <row r="45" ht="16.8" customHeight="1" x14ac:dyDescent="0.3"/>
    <row r="46" ht="16.8" customHeight="1" x14ac:dyDescent="0.3"/>
    <row r="47" ht="16.8" customHeight="1" x14ac:dyDescent="0.3"/>
    <row r="48" ht="16.8" customHeight="1" x14ac:dyDescent="0.3"/>
    <row r="49" ht="16.8" customHeight="1" x14ac:dyDescent="0.3"/>
    <row r="50" ht="16.8" customHeight="1" x14ac:dyDescent="0.3"/>
    <row r="51" ht="16.8" customHeight="1" x14ac:dyDescent="0.3"/>
    <row r="52" ht="16.8" customHeight="1" x14ac:dyDescent="0.3"/>
    <row r="53" ht="16.8" customHeight="1" x14ac:dyDescent="0.3"/>
    <row r="54" ht="16.8" customHeight="1" x14ac:dyDescent="0.3"/>
    <row r="55" ht="16.8" customHeight="1" x14ac:dyDescent="0.3"/>
    <row r="56" ht="16.8" customHeight="1" x14ac:dyDescent="0.3"/>
    <row r="57" ht="16.8" customHeight="1" x14ac:dyDescent="0.3"/>
    <row r="58" ht="16.8" customHeight="1" x14ac:dyDescent="0.3"/>
    <row r="59" ht="16.8" customHeight="1" x14ac:dyDescent="0.3"/>
    <row r="60" ht="16.8" customHeight="1" x14ac:dyDescent="0.3"/>
    <row r="61" ht="16.8" customHeight="1" x14ac:dyDescent="0.3"/>
    <row r="62" ht="16.8" customHeight="1" x14ac:dyDescent="0.3"/>
    <row r="63" ht="16.8" customHeight="1" x14ac:dyDescent="0.3"/>
    <row r="64" ht="16.8" customHeight="1" x14ac:dyDescent="0.3"/>
    <row r="65" ht="16.8" customHeight="1" x14ac:dyDescent="0.3"/>
    <row r="66" ht="16.8" customHeight="1" x14ac:dyDescent="0.3"/>
    <row r="67" ht="16.8" customHeight="1" x14ac:dyDescent="0.3"/>
    <row r="68" ht="16.8" customHeight="1" x14ac:dyDescent="0.3"/>
    <row r="69" ht="16.8" customHeight="1" x14ac:dyDescent="0.3"/>
    <row r="70" ht="16.8" customHeight="1" x14ac:dyDescent="0.3"/>
    <row r="71" ht="16.8" customHeight="1" x14ac:dyDescent="0.3"/>
    <row r="72" ht="16.8" customHeight="1" x14ac:dyDescent="0.3"/>
    <row r="73" ht="16.8" customHeight="1" x14ac:dyDescent="0.3"/>
    <row r="74" ht="16.8" customHeight="1" x14ac:dyDescent="0.3"/>
    <row r="75" ht="16.8" customHeight="1" x14ac:dyDescent="0.3"/>
    <row r="76" ht="16.8" customHeight="1" x14ac:dyDescent="0.3"/>
    <row r="77" ht="16.8" customHeight="1" x14ac:dyDescent="0.3"/>
    <row r="78" ht="16.8" customHeight="1" x14ac:dyDescent="0.3"/>
    <row r="79" ht="16.8" customHeight="1" x14ac:dyDescent="0.3"/>
    <row r="80" ht="16.8" customHeight="1" x14ac:dyDescent="0.3"/>
    <row r="81" ht="16.8" customHeight="1" x14ac:dyDescent="0.3"/>
    <row r="82" ht="16.8" customHeight="1" x14ac:dyDescent="0.3"/>
    <row r="83" ht="16.8" customHeight="1" x14ac:dyDescent="0.3"/>
    <row r="84" ht="16.8" customHeight="1" x14ac:dyDescent="0.3"/>
    <row r="85" ht="16.8" customHeight="1" x14ac:dyDescent="0.3"/>
    <row r="86" ht="16.8" customHeight="1" x14ac:dyDescent="0.3"/>
    <row r="87" ht="16.8" customHeight="1" x14ac:dyDescent="0.3"/>
    <row r="88" ht="16.8" customHeight="1" x14ac:dyDescent="0.3"/>
    <row r="89" ht="16.8" customHeight="1" x14ac:dyDescent="0.3"/>
    <row r="90" ht="16.8" customHeight="1" x14ac:dyDescent="0.3"/>
    <row r="91" ht="16.8" customHeight="1" x14ac:dyDescent="0.3"/>
    <row r="92" ht="16.8" customHeight="1" x14ac:dyDescent="0.3"/>
    <row r="93" ht="16.8" customHeight="1" x14ac:dyDescent="0.3"/>
    <row r="94" ht="16.8" customHeight="1" x14ac:dyDescent="0.3"/>
    <row r="95" ht="16.8" customHeight="1" x14ac:dyDescent="0.3"/>
    <row r="96" ht="16.8" customHeight="1" x14ac:dyDescent="0.3"/>
    <row r="97" ht="16.8" customHeight="1" x14ac:dyDescent="0.3"/>
    <row r="98" ht="16.8" customHeight="1" x14ac:dyDescent="0.3"/>
    <row r="99" ht="16.8" customHeight="1" x14ac:dyDescent="0.3"/>
    <row r="100" ht="16.8" customHeight="1" x14ac:dyDescent="0.3"/>
    <row r="101" ht="16.8" customHeight="1" x14ac:dyDescent="0.3"/>
    <row r="102" ht="16.8" customHeight="1" x14ac:dyDescent="0.3"/>
    <row r="103" ht="16.8" customHeight="1" x14ac:dyDescent="0.3"/>
    <row r="104" ht="16.8" customHeight="1" x14ac:dyDescent="0.3"/>
    <row r="105" ht="16.8" customHeight="1" x14ac:dyDescent="0.3"/>
    <row r="106" ht="16.8" customHeight="1" x14ac:dyDescent="0.3"/>
    <row r="107" ht="16.8" customHeight="1" x14ac:dyDescent="0.3"/>
    <row r="108" ht="16.8" customHeight="1" x14ac:dyDescent="0.3"/>
    <row r="109" ht="16.8" customHeight="1" x14ac:dyDescent="0.3"/>
    <row r="110" ht="16.8" customHeight="1" x14ac:dyDescent="0.3"/>
    <row r="111" ht="16.8" customHeight="1" x14ac:dyDescent="0.3"/>
    <row r="112" ht="16.8" customHeight="1" x14ac:dyDescent="0.3"/>
    <row r="113" ht="16.8" customHeight="1" x14ac:dyDescent="0.3"/>
    <row r="114" ht="16.8" customHeight="1" x14ac:dyDescent="0.3"/>
    <row r="115" ht="16.8" customHeight="1" x14ac:dyDescent="0.3"/>
    <row r="116" ht="16.8" customHeight="1" x14ac:dyDescent="0.3"/>
    <row r="117" ht="16.8" customHeight="1" x14ac:dyDescent="0.3"/>
    <row r="118" ht="16.8" customHeight="1" x14ac:dyDescent="0.3"/>
    <row r="119" ht="16.8" customHeight="1" x14ac:dyDescent="0.3"/>
    <row r="120" ht="16.8" customHeight="1" x14ac:dyDescent="0.3"/>
    <row r="121" ht="16.8" customHeight="1" x14ac:dyDescent="0.3"/>
    <row r="122" ht="16.8" customHeight="1" x14ac:dyDescent="0.3"/>
    <row r="123" ht="16.8" customHeight="1" x14ac:dyDescent="0.3"/>
    <row r="124" ht="16.8" customHeight="1" x14ac:dyDescent="0.3"/>
    <row r="125" ht="16.8" customHeight="1" x14ac:dyDescent="0.3"/>
    <row r="126" ht="16.8" customHeight="1" x14ac:dyDescent="0.3"/>
    <row r="127" ht="16.8" customHeight="1" x14ac:dyDescent="0.3"/>
    <row r="128" ht="16.8" customHeight="1" x14ac:dyDescent="0.3"/>
    <row r="129" ht="16.8" customHeight="1" x14ac:dyDescent="0.3"/>
    <row r="130" ht="16.8" customHeight="1" x14ac:dyDescent="0.3"/>
    <row r="131" ht="16.8" customHeight="1" x14ac:dyDescent="0.3"/>
    <row r="132" ht="16.8" customHeight="1" x14ac:dyDescent="0.3"/>
    <row r="133" ht="16.8" customHeight="1" x14ac:dyDescent="0.3"/>
    <row r="134" ht="16.8" customHeight="1" x14ac:dyDescent="0.3"/>
    <row r="135" ht="16.8" customHeight="1" x14ac:dyDescent="0.3"/>
    <row r="136" ht="16.8" customHeight="1" x14ac:dyDescent="0.3"/>
    <row r="137" ht="16.8" customHeight="1" x14ac:dyDescent="0.3"/>
    <row r="138" ht="16.8" customHeight="1" x14ac:dyDescent="0.3"/>
    <row r="139" ht="16.8" customHeight="1" x14ac:dyDescent="0.3"/>
    <row r="140" ht="16.8" customHeight="1" x14ac:dyDescent="0.3"/>
    <row r="141" ht="16.8" customHeight="1" x14ac:dyDescent="0.3"/>
    <row r="142" ht="16.8" customHeight="1" x14ac:dyDescent="0.3"/>
    <row r="143" ht="16.8" customHeight="1" x14ac:dyDescent="0.3"/>
    <row r="144" ht="16.8" customHeight="1" x14ac:dyDescent="0.3"/>
    <row r="145" ht="16.8" customHeight="1" x14ac:dyDescent="0.3"/>
    <row r="146" ht="16.8" customHeight="1" x14ac:dyDescent="0.3"/>
    <row r="147" ht="16.8" customHeight="1" x14ac:dyDescent="0.3"/>
    <row r="148" ht="16.8" customHeight="1" x14ac:dyDescent="0.3"/>
    <row r="149" ht="16.8" customHeight="1" x14ac:dyDescent="0.3"/>
    <row r="150" ht="16.8" customHeight="1" x14ac:dyDescent="0.3"/>
    <row r="151" ht="16.8" customHeight="1" x14ac:dyDescent="0.3"/>
    <row r="152" ht="16.8" customHeight="1" x14ac:dyDescent="0.3"/>
    <row r="153" ht="16.8" customHeight="1" x14ac:dyDescent="0.3"/>
    <row r="154" ht="16.8" customHeight="1" x14ac:dyDescent="0.3"/>
    <row r="155" ht="16.8" customHeight="1" x14ac:dyDescent="0.3"/>
    <row r="156" ht="16.8" customHeight="1" x14ac:dyDescent="0.3"/>
    <row r="157" ht="16.8" customHeight="1" x14ac:dyDescent="0.3"/>
    <row r="158" ht="16.8" customHeight="1" x14ac:dyDescent="0.3"/>
    <row r="159" ht="16.8" customHeight="1" x14ac:dyDescent="0.3"/>
    <row r="160" ht="16.8" customHeight="1" x14ac:dyDescent="0.3"/>
    <row r="161" ht="16.8" customHeight="1" x14ac:dyDescent="0.3"/>
    <row r="162" ht="16.8" customHeight="1" x14ac:dyDescent="0.3"/>
    <row r="163" ht="16.8" customHeight="1" x14ac:dyDescent="0.3"/>
    <row r="164" ht="16.8" customHeight="1" x14ac:dyDescent="0.3"/>
    <row r="165" ht="16.8" customHeight="1" x14ac:dyDescent="0.3"/>
    <row r="166" ht="16.8" customHeight="1" x14ac:dyDescent="0.3"/>
    <row r="167" ht="16.8" customHeight="1" x14ac:dyDescent="0.3"/>
    <row r="168" ht="16.8" customHeight="1" x14ac:dyDescent="0.3"/>
    <row r="169" ht="16.8" customHeight="1" x14ac:dyDescent="0.3"/>
    <row r="170" ht="16.8" customHeight="1" x14ac:dyDescent="0.3"/>
    <row r="171" ht="16.8" customHeight="1" x14ac:dyDescent="0.3"/>
    <row r="172" ht="16.8" customHeight="1" x14ac:dyDescent="0.3"/>
    <row r="173" ht="16.8" customHeight="1" x14ac:dyDescent="0.3"/>
    <row r="174" ht="16.8" customHeight="1" x14ac:dyDescent="0.3"/>
    <row r="175" ht="16.8" customHeight="1" x14ac:dyDescent="0.3"/>
    <row r="176" ht="16.8" customHeight="1" x14ac:dyDescent="0.3"/>
    <row r="177" ht="16.8" customHeight="1" x14ac:dyDescent="0.3"/>
    <row r="178" ht="16.8" customHeight="1" x14ac:dyDescent="0.3"/>
    <row r="179" ht="16.8" customHeight="1" x14ac:dyDescent="0.3"/>
    <row r="180" ht="16.8" customHeight="1" x14ac:dyDescent="0.3"/>
    <row r="181" ht="16.8" customHeight="1" x14ac:dyDescent="0.3"/>
    <row r="182" ht="16.8" customHeight="1" x14ac:dyDescent="0.3"/>
    <row r="183" ht="16.8" customHeight="1" x14ac:dyDescent="0.3"/>
    <row r="184" ht="16.8" customHeight="1" x14ac:dyDescent="0.3"/>
    <row r="185" ht="16.8" customHeight="1" x14ac:dyDescent="0.3"/>
    <row r="186" ht="16.8" customHeight="1" x14ac:dyDescent="0.3"/>
    <row r="187" ht="16.8" customHeight="1" x14ac:dyDescent="0.3"/>
    <row r="188" ht="16.8" customHeight="1" x14ac:dyDescent="0.3"/>
    <row r="189" ht="16.8" customHeight="1" x14ac:dyDescent="0.3"/>
    <row r="190" ht="16.8" customHeight="1" x14ac:dyDescent="0.3"/>
    <row r="191" ht="16.8" customHeight="1" x14ac:dyDescent="0.3"/>
    <row r="192" ht="16.8" customHeight="1" x14ac:dyDescent="0.3"/>
    <row r="193" ht="16.8" customHeight="1" x14ac:dyDescent="0.3"/>
    <row r="194" ht="16.8" customHeight="1" x14ac:dyDescent="0.3"/>
    <row r="195" ht="16.8" customHeight="1" x14ac:dyDescent="0.3"/>
    <row r="196" ht="16.8" customHeight="1" x14ac:dyDescent="0.3"/>
    <row r="197" ht="16.8" customHeight="1" x14ac:dyDescent="0.3"/>
    <row r="198" ht="16.8" customHeight="1" x14ac:dyDescent="0.3"/>
    <row r="199" ht="16.8" customHeight="1" x14ac:dyDescent="0.3"/>
    <row r="200" ht="16.8" customHeight="1" x14ac:dyDescent="0.3"/>
    <row r="201" ht="16.8" customHeight="1" x14ac:dyDescent="0.3"/>
    <row r="202" ht="16.8" customHeight="1" x14ac:dyDescent="0.3"/>
    <row r="203" ht="16.8" customHeight="1" x14ac:dyDescent="0.3"/>
    <row r="204" ht="16.8" customHeight="1" x14ac:dyDescent="0.3"/>
    <row r="205" ht="16.8" customHeight="1" x14ac:dyDescent="0.3"/>
    <row r="206" ht="16.8" customHeight="1" x14ac:dyDescent="0.3"/>
    <row r="207" ht="16.8" customHeight="1" x14ac:dyDescent="0.3"/>
    <row r="208" ht="16.8" customHeight="1" x14ac:dyDescent="0.3"/>
    <row r="209" ht="16.8" customHeight="1" x14ac:dyDescent="0.3"/>
    <row r="210" ht="16.8" customHeight="1" x14ac:dyDescent="0.3"/>
    <row r="211" ht="16.8" customHeight="1" x14ac:dyDescent="0.3"/>
    <row r="212" ht="16.8" customHeight="1" x14ac:dyDescent="0.3"/>
    <row r="213" ht="16.8" customHeight="1" x14ac:dyDescent="0.3"/>
    <row r="214" ht="16.8" customHeight="1" x14ac:dyDescent="0.3"/>
    <row r="215" ht="16.8" customHeight="1" x14ac:dyDescent="0.3"/>
    <row r="216" ht="16.8" customHeight="1" x14ac:dyDescent="0.3"/>
    <row r="217" ht="16.8" customHeight="1" x14ac:dyDescent="0.3"/>
    <row r="218" ht="16.8" customHeight="1" x14ac:dyDescent="0.3"/>
    <row r="219" ht="16.8" customHeight="1" x14ac:dyDescent="0.3"/>
    <row r="220" ht="16.8" customHeight="1" x14ac:dyDescent="0.3"/>
    <row r="221" ht="16.8" customHeight="1" x14ac:dyDescent="0.3"/>
    <row r="222" ht="16.8" customHeight="1" x14ac:dyDescent="0.3"/>
    <row r="223" ht="16.8" customHeight="1" x14ac:dyDescent="0.3"/>
    <row r="224" ht="16.8" customHeight="1" x14ac:dyDescent="0.3"/>
    <row r="225" ht="16.8" customHeight="1" x14ac:dyDescent="0.3"/>
    <row r="226" ht="16.8" customHeight="1" x14ac:dyDescent="0.3"/>
    <row r="227" ht="16.8" customHeight="1" x14ac:dyDescent="0.3"/>
    <row r="228" ht="16.8" customHeight="1" x14ac:dyDescent="0.3"/>
    <row r="229" ht="16.8" customHeight="1" x14ac:dyDescent="0.3"/>
    <row r="230" ht="16.8" customHeight="1" x14ac:dyDescent="0.3"/>
    <row r="231" ht="16.8" customHeight="1" x14ac:dyDescent="0.3"/>
    <row r="232" ht="16.8" customHeight="1" x14ac:dyDescent="0.3"/>
    <row r="233" ht="16.8" customHeight="1" x14ac:dyDescent="0.3"/>
    <row r="234" ht="16.8" customHeight="1" x14ac:dyDescent="0.3"/>
    <row r="235" ht="16.8" customHeight="1" x14ac:dyDescent="0.3"/>
    <row r="236" ht="16.8" customHeight="1" x14ac:dyDescent="0.3"/>
    <row r="237" ht="16.8" customHeight="1" x14ac:dyDescent="0.3"/>
    <row r="238" ht="16.8" customHeight="1" x14ac:dyDescent="0.3"/>
    <row r="239" ht="16.8" customHeight="1" x14ac:dyDescent="0.3"/>
    <row r="240" ht="16.8" customHeight="1" x14ac:dyDescent="0.3"/>
    <row r="241" ht="16.8" customHeight="1" x14ac:dyDescent="0.3"/>
    <row r="242" ht="16.8" customHeight="1" x14ac:dyDescent="0.3"/>
    <row r="243" ht="16.8" customHeight="1" x14ac:dyDescent="0.3"/>
    <row r="244" ht="16.8" customHeight="1" x14ac:dyDescent="0.3"/>
    <row r="245" ht="16.8" customHeight="1" x14ac:dyDescent="0.3"/>
    <row r="246" ht="16.8" customHeight="1" x14ac:dyDescent="0.3"/>
    <row r="247" ht="16.8" customHeight="1" x14ac:dyDescent="0.3"/>
    <row r="248" ht="16.8" customHeight="1" x14ac:dyDescent="0.3"/>
    <row r="249" ht="16.8" customHeight="1" x14ac:dyDescent="0.3"/>
    <row r="250" ht="16.8" customHeight="1" x14ac:dyDescent="0.3"/>
    <row r="251" ht="16.8" customHeight="1" x14ac:dyDescent="0.3"/>
    <row r="252" ht="16.8" customHeight="1" x14ac:dyDescent="0.3"/>
    <row r="253" ht="16.8" customHeight="1" x14ac:dyDescent="0.3"/>
    <row r="254" ht="16.8" customHeight="1" x14ac:dyDescent="0.3"/>
    <row r="255" ht="16.8" customHeight="1" x14ac:dyDescent="0.3"/>
    <row r="256" ht="16.8" customHeight="1" x14ac:dyDescent="0.3"/>
    <row r="257" ht="16.8" customHeight="1" x14ac:dyDescent="0.3"/>
    <row r="258" ht="16.8" customHeight="1" x14ac:dyDescent="0.3"/>
    <row r="259" ht="16.8" customHeight="1" x14ac:dyDescent="0.3"/>
    <row r="260" ht="16.8" customHeight="1" x14ac:dyDescent="0.3"/>
    <row r="261" ht="16.8" customHeight="1" x14ac:dyDescent="0.3"/>
    <row r="262" ht="16.8" customHeight="1" x14ac:dyDescent="0.3"/>
    <row r="263" ht="16.8" customHeight="1" x14ac:dyDescent="0.3"/>
    <row r="264" ht="16.8" customHeight="1" x14ac:dyDescent="0.3"/>
    <row r="265" ht="16.8" customHeight="1" x14ac:dyDescent="0.3"/>
    <row r="266" ht="16.8" customHeight="1" x14ac:dyDescent="0.3"/>
    <row r="267" ht="16.8" customHeight="1" x14ac:dyDescent="0.3"/>
    <row r="268" ht="16.8" customHeight="1" x14ac:dyDescent="0.3"/>
    <row r="269" ht="16.8" customHeight="1" x14ac:dyDescent="0.3"/>
    <row r="270" ht="16.8" customHeight="1" x14ac:dyDescent="0.3"/>
    <row r="271" ht="16.8" customHeight="1" x14ac:dyDescent="0.3"/>
    <row r="272" ht="16.8" customHeight="1" x14ac:dyDescent="0.3"/>
    <row r="273" ht="16.8" customHeight="1" x14ac:dyDescent="0.3"/>
    <row r="274" ht="16.8" customHeight="1" x14ac:dyDescent="0.3"/>
    <row r="275" ht="16.8" customHeight="1" x14ac:dyDescent="0.3"/>
    <row r="276" ht="16.8" customHeight="1" x14ac:dyDescent="0.3"/>
    <row r="277" ht="16.8" customHeight="1" x14ac:dyDescent="0.3"/>
    <row r="278" ht="16.8" customHeight="1" x14ac:dyDescent="0.3"/>
    <row r="279" ht="16.8" customHeight="1" x14ac:dyDescent="0.3"/>
    <row r="280" ht="16.8" customHeight="1" x14ac:dyDescent="0.3"/>
    <row r="281" ht="16.8" customHeight="1" x14ac:dyDescent="0.3"/>
  </sheetData>
  <mergeCells count="1">
    <mergeCell ref="A1:F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92442-7C84-48EC-B728-0B4ECD99158F}">
  <sheetPr codeName="Sheet3"/>
  <dimension ref="A1:I15"/>
  <sheetViews>
    <sheetView zoomScale="145" zoomScaleNormal="145" workbookViewId="0">
      <pane ySplit="3" topLeftCell="A4" activePane="bottomLeft" state="frozen"/>
      <selection pane="bottomLeft" sqref="A1:I1"/>
    </sheetView>
  </sheetViews>
  <sheetFormatPr defaultColWidth="22.5546875" defaultRowHeight="13.8" x14ac:dyDescent="0.3"/>
  <cols>
    <col min="1" max="1" width="12.88671875" style="42" bestFit="1" customWidth="1"/>
    <col min="2" max="2" width="10.5546875" style="42" customWidth="1"/>
    <col min="3" max="3" width="17.44140625" style="42" customWidth="1"/>
    <col min="4" max="4" width="11.88671875" style="42" customWidth="1"/>
    <col min="5" max="5" width="7.44140625" style="42" customWidth="1"/>
    <col min="6" max="6" width="15.109375" style="42" customWidth="1"/>
    <col min="7" max="7" width="13.33203125" style="42" customWidth="1"/>
    <col min="8" max="8" width="14.109375" style="42" bestFit="1" customWidth="1"/>
    <col min="9" max="9" width="14.6640625" style="42" bestFit="1" customWidth="1"/>
    <col min="10" max="16384" width="22.5546875" style="42"/>
  </cols>
  <sheetData>
    <row r="1" spans="1:9" s="41" customFormat="1" ht="31.2" customHeight="1" x14ac:dyDescent="0.3">
      <c r="A1" s="87" t="s">
        <v>114</v>
      </c>
      <c r="B1" s="87"/>
      <c r="C1" s="87"/>
      <c r="D1" s="87"/>
      <c r="E1" s="87"/>
      <c r="F1" s="87"/>
      <c r="G1" s="87"/>
      <c r="H1" s="87"/>
      <c r="I1" s="87"/>
    </row>
    <row r="2" spans="1:9" ht="8.4" customHeight="1" x14ac:dyDescent="0.3"/>
    <row r="3" spans="1:9" x14ac:dyDescent="0.3">
      <c r="A3" s="41" t="s">
        <v>7</v>
      </c>
      <c r="B3" s="41" t="s">
        <v>22</v>
      </c>
      <c r="C3" s="41" t="s">
        <v>128</v>
      </c>
      <c r="D3" s="41" t="s">
        <v>9</v>
      </c>
      <c r="E3" s="41" t="s">
        <v>10</v>
      </c>
      <c r="F3" s="41" t="s">
        <v>11</v>
      </c>
      <c r="G3" s="41" t="s">
        <v>12</v>
      </c>
      <c r="H3" s="41" t="s">
        <v>13</v>
      </c>
      <c r="I3" s="41" t="s">
        <v>14</v>
      </c>
    </row>
    <row r="4" spans="1:9" x14ac:dyDescent="0.3">
      <c r="A4" s="41" t="s">
        <v>27</v>
      </c>
      <c r="B4" s="41">
        <v>1</v>
      </c>
      <c r="C4" s="41" t="s">
        <v>68</v>
      </c>
      <c r="D4" s="41">
        <v>25</v>
      </c>
      <c r="E4" s="41">
        <v>5</v>
      </c>
      <c r="F4" s="41">
        <v>20</v>
      </c>
      <c r="G4" s="41"/>
      <c r="H4" s="41">
        <v>20</v>
      </c>
      <c r="I4" s="46">
        <v>45065.550593171298</v>
      </c>
    </row>
    <row r="5" spans="1:9" x14ac:dyDescent="0.3">
      <c r="A5" s="41" t="s">
        <v>27</v>
      </c>
      <c r="B5" s="41">
        <v>2</v>
      </c>
      <c r="C5" s="41" t="s">
        <v>83</v>
      </c>
      <c r="D5" s="41">
        <v>267</v>
      </c>
      <c r="E5" s="41">
        <v>7</v>
      </c>
      <c r="F5" s="41">
        <v>260</v>
      </c>
      <c r="G5" s="41">
        <v>250</v>
      </c>
      <c r="H5" s="41">
        <v>10</v>
      </c>
      <c r="I5" s="46">
        <v>45065.555680902777</v>
      </c>
    </row>
    <row r="6" spans="1:9" x14ac:dyDescent="0.3">
      <c r="A6" s="41" t="s">
        <v>5</v>
      </c>
      <c r="B6" s="41">
        <v>3</v>
      </c>
      <c r="C6" s="41" t="s">
        <v>93</v>
      </c>
      <c r="D6" s="41">
        <v>8.8000000000000007</v>
      </c>
      <c r="E6" s="41">
        <v>0.3</v>
      </c>
      <c r="F6" s="41">
        <v>8.5</v>
      </c>
      <c r="G6" s="41">
        <v>0.2</v>
      </c>
      <c r="H6" s="41">
        <v>8.3000000000000007</v>
      </c>
      <c r="I6" s="46">
        <v>45065.583006134257</v>
      </c>
    </row>
    <row r="7" spans="1:9" x14ac:dyDescent="0.3">
      <c r="A7" s="41" t="s">
        <v>27</v>
      </c>
      <c r="B7" s="41">
        <v>5</v>
      </c>
      <c r="C7" s="41" t="s">
        <v>68</v>
      </c>
      <c r="D7" s="41"/>
      <c r="E7" s="41"/>
      <c r="F7" s="41"/>
      <c r="G7" s="41">
        <v>5</v>
      </c>
      <c r="H7" s="41">
        <v>-5</v>
      </c>
      <c r="I7" s="46">
        <v>45066.238122916664</v>
      </c>
    </row>
    <row r="8" spans="1:9" x14ac:dyDescent="0.3">
      <c r="A8" s="41" t="s">
        <v>5</v>
      </c>
      <c r="B8" s="41">
        <v>6</v>
      </c>
      <c r="C8" s="41" t="s">
        <v>93</v>
      </c>
      <c r="D8" s="41">
        <v>8.8000000000000007</v>
      </c>
      <c r="E8" s="41">
        <v>1.1000000000000001</v>
      </c>
      <c r="F8" s="41">
        <v>7.7000000000000011</v>
      </c>
      <c r="G8" s="41">
        <v>7.5</v>
      </c>
      <c r="H8" s="41">
        <v>0.20000000000000107</v>
      </c>
      <c r="I8" s="46">
        <v>45066.244677314811</v>
      </c>
    </row>
    <row r="9" spans="1:9" x14ac:dyDescent="0.3">
      <c r="A9" s="41" t="s">
        <v>5</v>
      </c>
      <c r="B9" s="41">
        <v>7</v>
      </c>
      <c r="C9" s="41" t="s">
        <v>93</v>
      </c>
      <c r="D9" s="41"/>
      <c r="E9" s="41"/>
      <c r="F9" s="41"/>
      <c r="G9" s="41">
        <v>4</v>
      </c>
      <c r="H9" s="41">
        <v>-4</v>
      </c>
      <c r="I9" s="46">
        <v>45066.245765162035</v>
      </c>
    </row>
    <row r="10" spans="1:9" x14ac:dyDescent="0.3">
      <c r="A10" s="41" t="s">
        <v>5</v>
      </c>
      <c r="B10" s="41">
        <v>8</v>
      </c>
      <c r="C10" s="41" t="s">
        <v>93</v>
      </c>
      <c r="D10" s="41">
        <v>12.2</v>
      </c>
      <c r="E10" s="41">
        <v>0.2</v>
      </c>
      <c r="F10" s="41">
        <v>12</v>
      </c>
      <c r="G10" s="41">
        <v>12</v>
      </c>
      <c r="H10" s="41">
        <v>0</v>
      </c>
      <c r="I10" s="46">
        <v>45125.069158680555</v>
      </c>
    </row>
    <row r="11" spans="1:9" x14ac:dyDescent="0.3">
      <c r="A11" s="41" t="s">
        <v>27</v>
      </c>
      <c r="B11" s="41">
        <v>9</v>
      </c>
      <c r="C11" s="41" t="s">
        <v>83</v>
      </c>
      <c r="D11" s="41"/>
      <c r="E11" s="41"/>
      <c r="F11" s="41"/>
      <c r="G11" s="41">
        <v>5</v>
      </c>
      <c r="H11" s="41">
        <v>-5</v>
      </c>
      <c r="I11" s="46">
        <v>45125.229753935186</v>
      </c>
    </row>
    <row r="12" spans="1:9" x14ac:dyDescent="0.3">
      <c r="A12" s="41" t="s">
        <v>5</v>
      </c>
      <c r="B12" s="41">
        <v>10</v>
      </c>
      <c r="C12" s="41" t="s">
        <v>93</v>
      </c>
      <c r="D12" s="41"/>
      <c r="E12" s="41"/>
      <c r="F12" s="41"/>
      <c r="G12" s="41">
        <v>4.5</v>
      </c>
      <c r="H12" s="41">
        <v>-4.5</v>
      </c>
      <c r="I12" s="46">
        <v>45125.234231828705</v>
      </c>
    </row>
    <row r="13" spans="1:9" x14ac:dyDescent="0.3">
      <c r="A13" s="41" t="s">
        <v>27</v>
      </c>
      <c r="B13" s="41">
        <v>11</v>
      </c>
      <c r="C13" s="41" t="s">
        <v>62</v>
      </c>
      <c r="D13" s="41">
        <v>74.5</v>
      </c>
      <c r="E13" s="41">
        <v>0.5</v>
      </c>
      <c r="F13" s="41">
        <v>74</v>
      </c>
      <c r="G13" s="41">
        <v>70</v>
      </c>
      <c r="H13" s="41">
        <v>4</v>
      </c>
      <c r="I13" s="46">
        <v>45127.987703819446</v>
      </c>
    </row>
    <row r="14" spans="1:9" x14ac:dyDescent="0.3">
      <c r="A14" s="41" t="s">
        <v>5</v>
      </c>
      <c r="B14" s="41">
        <v>12</v>
      </c>
      <c r="C14" s="41" t="s">
        <v>93</v>
      </c>
      <c r="D14" s="41">
        <v>33</v>
      </c>
      <c r="E14" s="41">
        <v>3</v>
      </c>
      <c r="F14" s="41">
        <v>30</v>
      </c>
      <c r="G14" s="41">
        <v>30</v>
      </c>
      <c r="H14" s="41">
        <v>0</v>
      </c>
      <c r="I14" s="46">
        <v>45127.991281712966</v>
      </c>
    </row>
    <row r="15" spans="1:9" x14ac:dyDescent="0.3">
      <c r="A15" s="41" t="s">
        <v>27</v>
      </c>
      <c r="B15" s="41">
        <v>13</v>
      </c>
      <c r="C15" s="41" t="s">
        <v>62</v>
      </c>
      <c r="D15" s="41">
        <v>63</v>
      </c>
      <c r="E15" s="41">
        <v>1.5</v>
      </c>
      <c r="F15" s="41">
        <v>61.5</v>
      </c>
      <c r="G15" s="41">
        <v>31.5</v>
      </c>
      <c r="H15" s="41">
        <v>30</v>
      </c>
      <c r="I15" s="46">
        <v>45127.991333680555</v>
      </c>
    </row>
  </sheetData>
  <sheetProtection algorithmName="SHA-512" hashValue="kMkZ8giM9Nxvv2a9VEp9yLerrII9iRncF96ExpGbP30TiR8PrMljjN3h/VsKF3t3xztnDpjTY422z7YZu/GDPQ==" saltValue="Q0eNXM1oKb6gyU59K4VFPw==" spinCount="100000" sheet="1" objects="1" scenarios="1" sort="0" autoFilter="0" pivotTables="0"/>
  <mergeCells count="1">
    <mergeCell ref="A1:I1"/>
  </mergeCell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B4891-DED4-4922-9B72-DC4E14896B67}">
  <sheetPr codeName="Sheet4"/>
  <dimension ref="A1:M22"/>
  <sheetViews>
    <sheetView zoomScale="130" zoomScaleNormal="130" workbookViewId="0">
      <pane ySplit="3" topLeftCell="A4" activePane="bottomLeft" state="frozen"/>
      <selection pane="bottomLeft" sqref="A1:M1"/>
    </sheetView>
  </sheetViews>
  <sheetFormatPr defaultRowHeight="13.8" x14ac:dyDescent="0.3"/>
  <cols>
    <col min="1" max="1" width="6.88671875" style="42" customWidth="1"/>
    <col min="2" max="2" width="5.109375" style="42" customWidth="1"/>
    <col min="3" max="3" width="17.77734375" style="42" customWidth="1"/>
    <col min="4" max="4" width="9.44140625" style="42" bestFit="1" customWidth="1"/>
    <col min="5" max="5" width="10.21875" style="42" bestFit="1" customWidth="1"/>
    <col min="6" max="6" width="8.33203125" style="42" bestFit="1" customWidth="1"/>
    <col min="7" max="7" width="9.109375" style="42" bestFit="1" customWidth="1"/>
    <col min="8" max="8" width="10.33203125" style="42" bestFit="1" customWidth="1"/>
    <col min="9" max="9" width="14.6640625" style="42" customWidth="1"/>
    <col min="10" max="10" width="19.6640625" style="42" customWidth="1"/>
    <col min="11" max="11" width="16.44140625" style="42" customWidth="1"/>
    <col min="12" max="12" width="15.109375" style="42" customWidth="1"/>
    <col min="13" max="13" width="16.33203125" style="42" bestFit="1" customWidth="1"/>
    <col min="14" max="14" width="25" style="42" bestFit="1" customWidth="1"/>
    <col min="15" max="15" width="22.5546875" style="42" bestFit="1" customWidth="1"/>
    <col min="16" max="16384" width="8.88671875" style="42"/>
  </cols>
  <sheetData>
    <row r="1" spans="1:13" ht="25.8" customHeight="1" x14ac:dyDescent="0.3">
      <c r="A1" s="88" t="s">
        <v>115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</row>
    <row r="2" spans="1:13" ht="7.8" customHeight="1" x14ac:dyDescent="0.3"/>
    <row r="3" spans="1:13" ht="16.2" customHeight="1" x14ac:dyDescent="0.3">
      <c r="A3" s="41" t="s">
        <v>8</v>
      </c>
      <c r="B3" s="41" t="s">
        <v>23</v>
      </c>
      <c r="C3" s="41" t="s">
        <v>15</v>
      </c>
      <c r="D3" s="41" t="s">
        <v>26</v>
      </c>
      <c r="E3" s="41" t="s">
        <v>16</v>
      </c>
      <c r="F3" s="41" t="s">
        <v>17</v>
      </c>
      <c r="G3" s="41" t="s">
        <v>18</v>
      </c>
      <c r="H3" s="41" t="s">
        <v>9</v>
      </c>
      <c r="I3" s="41" t="s">
        <v>19</v>
      </c>
      <c r="J3" s="41" t="s">
        <v>116</v>
      </c>
      <c r="K3" s="41" t="s">
        <v>7</v>
      </c>
      <c r="L3" s="41" t="s">
        <v>128</v>
      </c>
      <c r="M3" s="41" t="s">
        <v>14</v>
      </c>
    </row>
    <row r="4" spans="1:13" x14ac:dyDescent="0.3">
      <c r="A4" s="41">
        <v>1</v>
      </c>
      <c r="B4" s="41">
        <v>1</v>
      </c>
      <c r="C4" s="41" t="s">
        <v>39</v>
      </c>
      <c r="D4" s="41">
        <v>5</v>
      </c>
      <c r="E4" s="41"/>
      <c r="F4" s="41">
        <v>5</v>
      </c>
      <c r="G4" s="41"/>
      <c r="H4" s="41">
        <v>25</v>
      </c>
      <c r="I4" s="41">
        <v>20</v>
      </c>
      <c r="J4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100</v>
      </c>
      <c r="K4" s="45" t="str">
        <f>INDEX(Table11[Order Type],MATCH(Table12[[#This Row],[Order Number]],Table11[Order No.],0))</f>
        <v>Purchase</v>
      </c>
      <c r="L4" s="47" t="str">
        <f>INDEX(Table11[Customer/Distributer],MATCH(Table12[[#This Row],[Order Number]],Table11[Order No.],0))</f>
        <v>Global Traders</v>
      </c>
      <c r="M4" s="47">
        <f>INDEX(Table11[Time],MATCH(Table12[[#This Row],[Order Number]],Table11[Order No.],0))</f>
        <v>45065.550593171298</v>
      </c>
    </row>
    <row r="5" spans="1:13" x14ac:dyDescent="0.3">
      <c r="A5" s="41">
        <v>2</v>
      </c>
      <c r="B5" s="41">
        <v>1</v>
      </c>
      <c r="C5" s="41" t="s">
        <v>39</v>
      </c>
      <c r="D5" s="41">
        <v>6</v>
      </c>
      <c r="E5" s="41"/>
      <c r="F5" s="41">
        <v>5</v>
      </c>
      <c r="G5" s="41"/>
      <c r="H5" s="41">
        <v>30</v>
      </c>
      <c r="I5" s="41">
        <v>20</v>
      </c>
      <c r="J5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120</v>
      </c>
      <c r="K5" s="45" t="str">
        <f>INDEX(Table11[Order Type],MATCH(Table12[[#This Row],[Order Number]],Table11[Order No.],0))</f>
        <v>Purchase</v>
      </c>
      <c r="L5" s="47" t="str">
        <f>INDEX(Table11[Customer/Distributer],MATCH(Table12[[#This Row],[Order Number]],Table11[Order No.],0))</f>
        <v>Global Imports</v>
      </c>
      <c r="M5" s="47">
        <f>INDEX(Table11[Time],MATCH(Table12[[#This Row],[Order Number]],Table11[Order No.],0))</f>
        <v>45065.555680902777</v>
      </c>
    </row>
    <row r="6" spans="1:13" x14ac:dyDescent="0.3">
      <c r="A6" s="41">
        <v>2</v>
      </c>
      <c r="B6" s="41">
        <v>2</v>
      </c>
      <c r="C6" s="41" t="s">
        <v>45</v>
      </c>
      <c r="D6" s="41">
        <v>25</v>
      </c>
      <c r="E6" s="41"/>
      <c r="F6" s="41">
        <v>4</v>
      </c>
      <c r="G6" s="41"/>
      <c r="H6" s="41">
        <v>100</v>
      </c>
      <c r="I6" s="41">
        <v>30</v>
      </c>
      <c r="J6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750</v>
      </c>
      <c r="K6" s="45" t="str">
        <f>INDEX(Table11[Order Type],MATCH(Table12[[#This Row],[Order Number]],Table11[Order No.],0))</f>
        <v>Purchase</v>
      </c>
      <c r="L6" s="47" t="str">
        <f>INDEX(Table11[Customer/Distributer],MATCH(Table12[[#This Row],[Order Number]],Table11[Order No.],0))</f>
        <v>Global Imports</v>
      </c>
      <c r="M6" s="47">
        <f>INDEX(Table11[Time],MATCH(Table12[[#This Row],[Order Number]],Table11[Order No.],0))</f>
        <v>45065.555680902777</v>
      </c>
    </row>
    <row r="7" spans="1:13" x14ac:dyDescent="0.3">
      <c r="A7" s="41">
        <v>2</v>
      </c>
      <c r="B7" s="41">
        <v>3</v>
      </c>
      <c r="C7" s="41" t="s">
        <v>51</v>
      </c>
      <c r="D7" s="41">
        <v>18</v>
      </c>
      <c r="E7" s="41"/>
      <c r="F7" s="41">
        <v>4</v>
      </c>
      <c r="G7" s="41"/>
      <c r="H7" s="41">
        <v>72</v>
      </c>
      <c r="I7" s="41">
        <v>30</v>
      </c>
      <c r="J7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540</v>
      </c>
      <c r="K7" s="45" t="str">
        <f>INDEX(Table11[Order Type],MATCH(Table12[[#This Row],[Order Number]],Table11[Order No.],0))</f>
        <v>Purchase</v>
      </c>
      <c r="L7" s="47" t="str">
        <f>INDEX(Table11[Customer/Distributer],MATCH(Table12[[#This Row],[Order Number]],Table11[Order No.],0))</f>
        <v>Global Imports</v>
      </c>
      <c r="M7" s="47">
        <f>INDEX(Table11[Time],MATCH(Table12[[#This Row],[Order Number]],Table11[Order No.],0))</f>
        <v>45065.555680902777</v>
      </c>
    </row>
    <row r="8" spans="1:13" x14ac:dyDescent="0.3">
      <c r="A8" s="41">
        <v>2</v>
      </c>
      <c r="B8" s="41">
        <v>4</v>
      </c>
      <c r="C8" s="41" t="s">
        <v>53</v>
      </c>
      <c r="D8" s="41">
        <v>13</v>
      </c>
      <c r="E8" s="41"/>
      <c r="F8" s="41">
        <v>5</v>
      </c>
      <c r="G8" s="41"/>
      <c r="H8" s="41">
        <v>65</v>
      </c>
      <c r="I8" s="41">
        <v>20</v>
      </c>
      <c r="J8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260</v>
      </c>
      <c r="K8" s="45" t="str">
        <f>INDEX(Table11[Order Type],MATCH(Table12[[#This Row],[Order Number]],Table11[Order No.],0))</f>
        <v>Purchase</v>
      </c>
      <c r="L8" s="47" t="str">
        <f>INDEX(Table11[Customer/Distributer],MATCH(Table12[[#This Row],[Order Number]],Table11[Order No.],0))</f>
        <v>Global Imports</v>
      </c>
      <c r="M8" s="47">
        <f>INDEX(Table11[Time],MATCH(Table12[[#This Row],[Order Number]],Table11[Order No.],0))</f>
        <v>45065.555680902777</v>
      </c>
    </row>
    <row r="9" spans="1:13" x14ac:dyDescent="0.3">
      <c r="A9" s="41">
        <v>6</v>
      </c>
      <c r="B9" s="41">
        <v>1</v>
      </c>
      <c r="C9" s="41" t="s">
        <v>45</v>
      </c>
      <c r="D9" s="41">
        <v>1</v>
      </c>
      <c r="E9" s="41">
        <v>1</v>
      </c>
      <c r="F9" s="41">
        <v>8</v>
      </c>
      <c r="G9" s="41">
        <v>0.8</v>
      </c>
      <c r="H9" s="41">
        <v>8.8000000000000007</v>
      </c>
      <c r="I9" s="41">
        <v>30</v>
      </c>
      <c r="J9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-31</v>
      </c>
      <c r="K9" s="45" t="str">
        <f>INDEX(Table11[Order Type],MATCH(Table12[[#This Row],[Order Number]],Table11[Order No.],0))</f>
        <v>Sell</v>
      </c>
      <c r="L9" s="47" t="str">
        <f>INDEX(Table11[Customer/Distributer],MATCH(Table12[[#This Row],[Order Number]],Table11[Order No.],0))</f>
        <v>John Smith</v>
      </c>
      <c r="M9" s="47">
        <f>INDEX(Table11[Time],MATCH(Table12[[#This Row],[Order Number]],Table11[Order No.],0))</f>
        <v>45066.244677314811</v>
      </c>
    </row>
    <row r="10" spans="1:13" x14ac:dyDescent="0.3">
      <c r="A10" s="41">
        <v>8</v>
      </c>
      <c r="B10" s="41">
        <v>1</v>
      </c>
      <c r="C10" s="41" t="s">
        <v>39</v>
      </c>
      <c r="D10" s="41">
        <v>1</v>
      </c>
      <c r="E10" s="41">
        <v>2</v>
      </c>
      <c r="F10" s="41">
        <v>10</v>
      </c>
      <c r="G10" s="41">
        <v>1.1000000000000001</v>
      </c>
      <c r="H10" s="41">
        <v>12.2</v>
      </c>
      <c r="I10" s="41">
        <v>20</v>
      </c>
      <c r="J10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-22</v>
      </c>
      <c r="K10" s="45" t="str">
        <f>INDEX(Table11[Order Type],MATCH(Table12[[#This Row],[Order Number]],Table11[Order No.],0))</f>
        <v>Sell</v>
      </c>
      <c r="L10" s="47" t="str">
        <f>INDEX(Table11[Customer/Distributer],MATCH(Table12[[#This Row],[Order Number]],Table11[Order No.],0))</f>
        <v>John Smith</v>
      </c>
      <c r="M10" s="47">
        <f>INDEX(Table11[Time],MATCH(Table12[[#This Row],[Order Number]],Table11[Order No.],0))</f>
        <v>45125.069158680555</v>
      </c>
    </row>
    <row r="11" spans="1:13" x14ac:dyDescent="0.3">
      <c r="A11" s="41">
        <v>11</v>
      </c>
      <c r="B11" s="41">
        <v>1</v>
      </c>
      <c r="C11" s="41" t="s">
        <v>43</v>
      </c>
      <c r="D11" s="41"/>
      <c r="E11" s="41">
        <v>6</v>
      </c>
      <c r="F11" s="41">
        <v>6</v>
      </c>
      <c r="G11" s="41">
        <v>1</v>
      </c>
      <c r="H11" s="41">
        <v>6</v>
      </c>
      <c r="I11" s="41">
        <v>15</v>
      </c>
      <c r="J11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6</v>
      </c>
      <c r="K11" s="45" t="str">
        <f>INDEX(Table11[Order Type],MATCH(Table12[[#This Row],[Order Number]],Table11[Order No.],0))</f>
        <v>Purchase</v>
      </c>
      <c r="L11" s="47" t="str">
        <f>INDEX(Table11[Customer/Distributer],MATCH(Table12[[#This Row],[Order Number]],Table11[Order No.],0))</f>
        <v>ABC Distributors</v>
      </c>
      <c r="M11" s="47">
        <f>INDEX(Table11[Time],MATCH(Table12[[#This Row],[Order Number]],Table11[Order No.],0))</f>
        <v>45127.987703819446</v>
      </c>
    </row>
    <row r="12" spans="1:13" x14ac:dyDescent="0.3">
      <c r="A12" s="41">
        <v>11</v>
      </c>
      <c r="B12" s="41">
        <v>2</v>
      </c>
      <c r="C12" s="41" t="s">
        <v>53</v>
      </c>
      <c r="D12" s="41">
        <v>4</v>
      </c>
      <c r="E12" s="41"/>
      <c r="F12" s="41">
        <v>5</v>
      </c>
      <c r="G12" s="41"/>
      <c r="H12" s="41">
        <v>20</v>
      </c>
      <c r="I12" s="41">
        <v>20</v>
      </c>
      <c r="J12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80</v>
      </c>
      <c r="K12" s="45" t="str">
        <f>INDEX(Table11[Order Type],MATCH(Table12[[#This Row],[Order Number]],Table11[Order No.],0))</f>
        <v>Purchase</v>
      </c>
      <c r="L12" s="47" t="str">
        <f>INDEX(Table11[Customer/Distributer],MATCH(Table12[[#This Row],[Order Number]],Table11[Order No.],0))</f>
        <v>ABC Distributors</v>
      </c>
      <c r="M12" s="47">
        <f>INDEX(Table11[Time],MATCH(Table12[[#This Row],[Order Number]],Table11[Order No.],0))</f>
        <v>45127.987703819446</v>
      </c>
    </row>
    <row r="13" spans="1:13" x14ac:dyDescent="0.3">
      <c r="A13" s="41">
        <v>11</v>
      </c>
      <c r="B13" s="41">
        <v>3</v>
      </c>
      <c r="C13" s="41" t="s">
        <v>49</v>
      </c>
      <c r="D13" s="41">
        <v>7</v>
      </c>
      <c r="E13" s="41"/>
      <c r="F13" s="41">
        <v>5.5</v>
      </c>
      <c r="G13" s="41"/>
      <c r="H13" s="41">
        <v>38.5</v>
      </c>
      <c r="I13" s="41">
        <v>20</v>
      </c>
      <c r="J13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140</v>
      </c>
      <c r="K13" s="45" t="str">
        <f>INDEX(Table11[Order Type],MATCH(Table12[[#This Row],[Order Number]],Table11[Order No.],0))</f>
        <v>Purchase</v>
      </c>
      <c r="L13" s="47" t="str">
        <f>INDEX(Table11[Customer/Distributer],MATCH(Table12[[#This Row],[Order Number]],Table11[Order No.],0))</f>
        <v>ABC Distributors</v>
      </c>
      <c r="M13" s="47">
        <f>INDEX(Table11[Time],MATCH(Table12[[#This Row],[Order Number]],Table11[Order No.],0))</f>
        <v>45127.987703819446</v>
      </c>
    </row>
    <row r="14" spans="1:13" x14ac:dyDescent="0.3">
      <c r="A14" s="41">
        <v>11</v>
      </c>
      <c r="B14" s="41">
        <v>4</v>
      </c>
      <c r="C14" s="41" t="s">
        <v>39</v>
      </c>
      <c r="D14" s="41">
        <v>2</v>
      </c>
      <c r="E14" s="41"/>
      <c r="F14" s="41">
        <v>5</v>
      </c>
      <c r="G14" s="41"/>
      <c r="H14" s="41">
        <v>10</v>
      </c>
      <c r="I14" s="41">
        <v>20</v>
      </c>
      <c r="J14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40</v>
      </c>
      <c r="K14" s="45" t="str">
        <f>INDEX(Table11[Order Type],MATCH(Table12[[#This Row],[Order Number]],Table11[Order No.],0))</f>
        <v>Purchase</v>
      </c>
      <c r="L14" s="47" t="str">
        <f>INDEX(Table11[Customer/Distributer],MATCH(Table12[[#This Row],[Order Number]],Table11[Order No.],0))</f>
        <v>ABC Distributors</v>
      </c>
      <c r="M14" s="47">
        <f>INDEX(Table11[Time],MATCH(Table12[[#This Row],[Order Number]],Table11[Order No.],0))</f>
        <v>45127.987703819446</v>
      </c>
    </row>
    <row r="15" spans="1:13" x14ac:dyDescent="0.3">
      <c r="A15" s="41">
        <v>12</v>
      </c>
      <c r="B15" s="41">
        <v>1</v>
      </c>
      <c r="C15" s="41" t="s">
        <v>39</v>
      </c>
      <c r="D15" s="41">
        <v>2</v>
      </c>
      <c r="E15" s="41"/>
      <c r="F15" s="41">
        <v>10</v>
      </c>
      <c r="G15" s="41">
        <v>1.1000000000000001</v>
      </c>
      <c r="H15" s="41">
        <v>20</v>
      </c>
      <c r="I15" s="41">
        <v>20</v>
      </c>
      <c r="J15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-40</v>
      </c>
      <c r="K15" s="45" t="str">
        <f>INDEX(Table11[Order Type],MATCH(Table12[[#This Row],[Order Number]],Table11[Order No.],0))</f>
        <v>Sell</v>
      </c>
      <c r="L15" s="47" t="str">
        <f>INDEX(Table11[Customer/Distributer],MATCH(Table12[[#This Row],[Order Number]],Table11[Order No.],0))</f>
        <v>John Smith</v>
      </c>
      <c r="M15" s="47">
        <f>INDEX(Table11[Time],MATCH(Table12[[#This Row],[Order Number]],Table11[Order No.],0))</f>
        <v>45127.991281712966</v>
      </c>
    </row>
    <row r="16" spans="1:13" x14ac:dyDescent="0.3">
      <c r="A16" s="41">
        <v>12</v>
      </c>
      <c r="B16" s="41">
        <v>2</v>
      </c>
      <c r="C16" s="41" t="s">
        <v>51</v>
      </c>
      <c r="D16" s="41">
        <v>1</v>
      </c>
      <c r="E16" s="41"/>
      <c r="F16" s="41">
        <v>8</v>
      </c>
      <c r="G16" s="41">
        <v>0.8</v>
      </c>
      <c r="H16" s="41">
        <v>8</v>
      </c>
      <c r="I16" s="41">
        <v>30</v>
      </c>
      <c r="J16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-30</v>
      </c>
      <c r="K16" s="45" t="str">
        <f>INDEX(Table11[Order Type],MATCH(Table12[[#This Row],[Order Number]],Table11[Order No.],0))</f>
        <v>Sell</v>
      </c>
      <c r="L16" s="47" t="str">
        <f>INDEX(Table11[Customer/Distributer],MATCH(Table12[[#This Row],[Order Number]],Table11[Order No.],0))</f>
        <v>John Smith</v>
      </c>
      <c r="M16" s="47">
        <f>INDEX(Table11[Time],MATCH(Table12[[#This Row],[Order Number]],Table11[Order No.],0))</f>
        <v>45127.991281712966</v>
      </c>
    </row>
    <row r="17" spans="1:13" x14ac:dyDescent="0.3">
      <c r="A17" s="41">
        <v>12</v>
      </c>
      <c r="B17" s="41">
        <v>3</v>
      </c>
      <c r="C17" s="41" t="s">
        <v>53</v>
      </c>
      <c r="D17" s="41"/>
      <c r="E17" s="41">
        <v>1</v>
      </c>
      <c r="F17" s="41">
        <v>10</v>
      </c>
      <c r="G17" s="41">
        <v>1</v>
      </c>
      <c r="H17" s="41">
        <v>1</v>
      </c>
      <c r="I17" s="41">
        <v>20</v>
      </c>
      <c r="J17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-1</v>
      </c>
      <c r="K17" s="45" t="str">
        <f>INDEX(Table11[Order Type],MATCH(Table12[[#This Row],[Order Number]],Table11[Order No.],0))</f>
        <v>Sell</v>
      </c>
      <c r="L17" s="47" t="str">
        <f>INDEX(Table11[Customer/Distributer],MATCH(Table12[[#This Row],[Order Number]],Table11[Order No.],0))</f>
        <v>John Smith</v>
      </c>
      <c r="M17" s="47">
        <f>INDEX(Table11[Time],MATCH(Table12[[#This Row],[Order Number]],Table11[Order No.],0))</f>
        <v>45127.991281712966</v>
      </c>
    </row>
    <row r="18" spans="1:13" x14ac:dyDescent="0.3">
      <c r="A18" s="41">
        <v>12</v>
      </c>
      <c r="B18" s="41">
        <v>4</v>
      </c>
      <c r="C18" s="41" t="s">
        <v>45</v>
      </c>
      <c r="D18" s="41"/>
      <c r="E18" s="41">
        <v>5</v>
      </c>
      <c r="F18" s="41">
        <v>8</v>
      </c>
      <c r="G18" s="41">
        <v>0.8</v>
      </c>
      <c r="H18" s="41">
        <v>4</v>
      </c>
      <c r="I18" s="41">
        <v>30</v>
      </c>
      <c r="J18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-5</v>
      </c>
      <c r="K18" s="45" t="str">
        <f>INDEX(Table11[Order Type],MATCH(Table12[[#This Row],[Order Number]],Table11[Order No.],0))</f>
        <v>Sell</v>
      </c>
      <c r="L18" s="47" t="str">
        <f>INDEX(Table11[Customer/Distributer],MATCH(Table12[[#This Row],[Order Number]],Table11[Order No.],0))</f>
        <v>John Smith</v>
      </c>
      <c r="M18" s="47">
        <f>INDEX(Table11[Time],MATCH(Table12[[#This Row],[Order Number]],Table11[Order No.],0))</f>
        <v>45127.991281712966</v>
      </c>
    </row>
    <row r="19" spans="1:13" x14ac:dyDescent="0.3">
      <c r="A19" s="41">
        <v>13</v>
      </c>
      <c r="B19" s="41">
        <v>1</v>
      </c>
      <c r="C19" s="41" t="s">
        <v>43</v>
      </c>
      <c r="D19" s="41"/>
      <c r="E19" s="41">
        <v>6</v>
      </c>
      <c r="F19" s="41">
        <v>6</v>
      </c>
      <c r="G19" s="41">
        <v>1</v>
      </c>
      <c r="H19" s="41">
        <v>6</v>
      </c>
      <c r="I19" s="41">
        <v>15</v>
      </c>
      <c r="J19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6</v>
      </c>
      <c r="K19" s="45" t="str">
        <f>INDEX(Table11[Order Type],MATCH(Table12[[#This Row],[Order Number]],Table11[Order No.],0))</f>
        <v>Purchase</v>
      </c>
      <c r="L19" s="47" t="str">
        <f>INDEX(Table11[Customer/Distributer],MATCH(Table12[[#This Row],[Order Number]],Table11[Order No.],0))</f>
        <v>ABC Distributors</v>
      </c>
      <c r="M19" s="47">
        <f>INDEX(Table11[Time],MATCH(Table12[[#This Row],[Order Number]],Table11[Order No.],0))</f>
        <v>45127.991333680555</v>
      </c>
    </row>
    <row r="20" spans="1:13" x14ac:dyDescent="0.3">
      <c r="A20" s="41">
        <v>13</v>
      </c>
      <c r="B20" s="41">
        <v>2</v>
      </c>
      <c r="C20" s="41" t="s">
        <v>41</v>
      </c>
      <c r="D20" s="41">
        <v>3</v>
      </c>
      <c r="E20" s="41"/>
      <c r="F20" s="41">
        <v>4.5</v>
      </c>
      <c r="G20" s="41"/>
      <c r="H20" s="41">
        <v>13.5</v>
      </c>
      <c r="I20" s="41">
        <v>25</v>
      </c>
      <c r="J20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75</v>
      </c>
      <c r="K20" s="45" t="str">
        <f>INDEX(Table11[Order Type],MATCH(Table12[[#This Row],[Order Number]],Table11[Order No.],0))</f>
        <v>Purchase</v>
      </c>
      <c r="L20" s="47" t="str">
        <f>INDEX(Table11[Customer/Distributer],MATCH(Table12[[#This Row],[Order Number]],Table11[Order No.],0))</f>
        <v>ABC Distributors</v>
      </c>
      <c r="M20" s="47">
        <f>INDEX(Table11[Time],MATCH(Table12[[#This Row],[Order Number]],Table11[Order No.],0))</f>
        <v>45127.991333680555</v>
      </c>
    </row>
    <row r="21" spans="1:13" x14ac:dyDescent="0.3">
      <c r="A21" s="41">
        <v>13</v>
      </c>
      <c r="B21" s="41">
        <v>3</v>
      </c>
      <c r="C21" s="41" t="s">
        <v>45</v>
      </c>
      <c r="D21" s="41">
        <v>4</v>
      </c>
      <c r="E21" s="41"/>
      <c r="F21" s="41">
        <v>4</v>
      </c>
      <c r="G21" s="41"/>
      <c r="H21" s="41">
        <v>16</v>
      </c>
      <c r="I21" s="41">
        <v>30</v>
      </c>
      <c r="J21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120</v>
      </c>
      <c r="K21" s="45" t="str">
        <f>INDEX(Table11[Order Type],MATCH(Table12[[#This Row],[Order Number]],Table11[Order No.],0))</f>
        <v>Purchase</v>
      </c>
      <c r="L21" s="47" t="str">
        <f>INDEX(Table11[Customer/Distributer],MATCH(Table12[[#This Row],[Order Number]],Table11[Order No.],0))</f>
        <v>ABC Distributors</v>
      </c>
      <c r="M21" s="47">
        <f>INDEX(Table11[Time],MATCH(Table12[[#This Row],[Order Number]],Table11[Order No.],0))</f>
        <v>45127.991333680555</v>
      </c>
    </row>
    <row r="22" spans="1:13" x14ac:dyDescent="0.3">
      <c r="A22" s="41">
        <v>13</v>
      </c>
      <c r="B22" s="41">
        <v>4</v>
      </c>
      <c r="C22" s="41" t="s">
        <v>49</v>
      </c>
      <c r="D22" s="41">
        <v>5</v>
      </c>
      <c r="E22" s="41"/>
      <c r="F22" s="41">
        <v>5.5</v>
      </c>
      <c r="G22" s="41"/>
      <c r="H22" s="41">
        <v>27.5</v>
      </c>
      <c r="I22" s="41">
        <v>20</v>
      </c>
      <c r="J22" s="45">
        <f>IF(Table12[[#This Row],[Order Type]]="Purchase",Table12[[#This Row],[Amount/Boxes]]*Table12[[#This Row],[Number of Items in Box]]+Table12[[#This Row],[Amount/Single]],IF(Table12[[#This Row],[Order Type]]="Sell",(Table12[[#This Row],[Amount/Boxes]]*Table12[[#This Row],[Number of Items in Box]]+Table12[[#This Row],[Amount/Single]])*(-1)))</f>
        <v>100</v>
      </c>
      <c r="K22" s="45" t="str">
        <f>INDEX(Table11[Order Type],MATCH(Table12[[#This Row],[Order Number]],Table11[Order No.],0))</f>
        <v>Purchase</v>
      </c>
      <c r="L22" s="47" t="str">
        <f>INDEX(Table11[Customer/Distributer],MATCH(Table12[[#This Row],[Order Number]],Table11[Order No.],0))</f>
        <v>ABC Distributors</v>
      </c>
      <c r="M22" s="47">
        <f>INDEX(Table11[Time],MATCH(Table12[[#This Row],[Order Number]],Table11[Order No.],0))</f>
        <v>45127.991333680555</v>
      </c>
    </row>
  </sheetData>
  <sheetProtection algorithmName="SHA-512" hashValue="7dmzcIlF380Maww/EeOY1I/e4SjvYpnz1JzhaWAmwpmYmmJSoYPCEZ3gu7z/Dab+gzGN7+MsEB6KbzDfBOC3/w==" saltValue="e2SQJPgXS4LpWMBx78jUOA==" spinCount="100000" sheet="1" objects="1" scenarios="1" sort="0" autoFilter="0" pivotTables="0"/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CD98A-C507-4F81-B5E1-17F76C32D159}">
  <sheetPr codeName="Sheet8"/>
  <dimension ref="A1:F500"/>
  <sheetViews>
    <sheetView workbookViewId="0">
      <selection activeCell="B3" sqref="B3"/>
    </sheetView>
  </sheetViews>
  <sheetFormatPr defaultRowHeight="14.4" x14ac:dyDescent="0.3"/>
  <cols>
    <col min="1" max="1" width="23.44140625" style="1" bestFit="1" customWidth="1"/>
    <col min="2" max="2" width="26.6640625" style="1" bestFit="1" customWidth="1"/>
    <col min="3" max="5" width="8.88671875" style="1"/>
    <col min="6" max="6" width="43.5546875" style="1" bestFit="1" customWidth="1"/>
    <col min="7" max="16384" width="8.88671875" style="1"/>
  </cols>
  <sheetData>
    <row r="1" spans="1:6" ht="25.2" customHeight="1" x14ac:dyDescent="0.3">
      <c r="A1" s="48" t="s">
        <v>117</v>
      </c>
      <c r="B1" s="50" t="s">
        <v>118</v>
      </c>
      <c r="C1"/>
      <c r="F1" s="2" t="s">
        <v>125</v>
      </c>
    </row>
    <row r="2" spans="1:6" x14ac:dyDescent="0.3">
      <c r="A2" s="49" t="s">
        <v>45</v>
      </c>
      <c r="B2" s="51">
        <v>834</v>
      </c>
      <c r="C2"/>
      <c r="F2" s="1" t="str">
        <f t="array" ref="F2">IFERROR(INDEX($A$2:$A$500,SMALL(IF($B$2:$B$500&gt;0,ROW($B$2:$B$500)-ROW($B$1)),ROWS(F$2:F2))),0)</f>
        <v>Chamomile Tea</v>
      </c>
    </row>
    <row r="3" spans="1:6" x14ac:dyDescent="0.3">
      <c r="A3" s="49" t="s">
        <v>39</v>
      </c>
      <c r="B3" s="51">
        <v>198</v>
      </c>
      <c r="C3"/>
      <c r="F3" s="1" t="str">
        <f t="array" ref="F3">IFERROR(INDEX($A$2:$A$500,SMALL(IF($B$2:$B$500&gt;0,ROW($B$2:$B$500)-ROW($B$1)),ROWS(F$2:F3))),0)</f>
        <v>Green Tea</v>
      </c>
    </row>
    <row r="4" spans="1:6" x14ac:dyDescent="0.3">
      <c r="A4" s="49" t="s">
        <v>51</v>
      </c>
      <c r="B4" s="51">
        <v>510</v>
      </c>
      <c r="C4"/>
      <c r="F4" s="1" t="str">
        <f t="array" ref="F4">IFERROR(INDEX($A$2:$A$500,SMALL(IF($B$2:$B$500&gt;0,ROW($B$2:$B$500)-ROW($B$1)),ROWS(F$2:F4))),0)</f>
        <v>Peppermint Tea</v>
      </c>
    </row>
    <row r="5" spans="1:6" x14ac:dyDescent="0.3">
      <c r="A5" s="49" t="s">
        <v>53</v>
      </c>
      <c r="B5" s="51">
        <v>339</v>
      </c>
      <c r="C5"/>
      <c r="F5" s="1" t="str">
        <f t="array" ref="F5">IFERROR(INDEX($A$2:$A$500,SMALL(IF($B$2:$B$500&gt;0,ROW($B$2:$B$500)-ROW($B$1)),ROWS(F$2:F5))),0)</f>
        <v>Rooibos Tea</v>
      </c>
    </row>
    <row r="6" spans="1:6" x14ac:dyDescent="0.3">
      <c r="A6" s="49" t="s">
        <v>43</v>
      </c>
      <c r="B6" s="51">
        <v>12</v>
      </c>
      <c r="C6"/>
      <c r="F6" s="1" t="str">
        <f t="array" ref="F6">IFERROR(INDEX($A$2:$A$500,SMALL(IF($B$2:$B$500&gt;0,ROW($B$2:$B$500)-ROW($B$1)),ROWS(F$2:F6))),0)</f>
        <v>Herbal Tea</v>
      </c>
    </row>
    <row r="7" spans="1:6" x14ac:dyDescent="0.3">
      <c r="A7" s="49" t="s">
        <v>49</v>
      </c>
      <c r="B7" s="51">
        <v>240</v>
      </c>
      <c r="C7"/>
      <c r="F7" s="1" t="str">
        <f t="array" ref="F7">IFERROR(INDEX($A$2:$A$500,SMALL(IF($B$2:$B$500&gt;0,ROW($B$2:$B$500)-ROW($B$1)),ROWS(F$2:F7))),0)</f>
        <v>Jasmine Tea</v>
      </c>
    </row>
    <row r="8" spans="1:6" x14ac:dyDescent="0.3">
      <c r="A8" s="49" t="s">
        <v>41</v>
      </c>
      <c r="B8" s="51">
        <v>75</v>
      </c>
      <c r="C8"/>
      <c r="F8" s="1" t="str">
        <f t="array" ref="F8">IFERROR(INDEX($A$2:$A$500,SMALL(IF($B$2:$B$500&gt;0,ROW($B$2:$B$500)-ROW($B$1)),ROWS(F$2:F8))),0)</f>
        <v>Black Tea</v>
      </c>
    </row>
    <row r="9" spans="1:6" x14ac:dyDescent="0.3">
      <c r="A9"/>
      <c r="B9"/>
      <c r="C9"/>
      <c r="F9" s="1">
        <f t="array" ref="F9">IFERROR(INDEX($A$2:$A$500,SMALL(IF($B$2:$B$500&gt;0,ROW($B$2:$B$500)-ROW($B$1)),ROWS(F$2:F9))),0)</f>
        <v>0</v>
      </c>
    </row>
    <row r="10" spans="1:6" x14ac:dyDescent="0.3">
      <c r="A10"/>
      <c r="B10"/>
      <c r="C10"/>
      <c r="F10" s="1">
        <f t="array" ref="F10">IFERROR(INDEX($A$2:$A$500,SMALL(IF($B$2:$B$500&gt;0,ROW($B$2:$B$500)-ROW($B$1)),ROWS(F$2:F10))),0)</f>
        <v>0</v>
      </c>
    </row>
    <row r="11" spans="1:6" x14ac:dyDescent="0.3">
      <c r="A11"/>
      <c r="B11"/>
      <c r="C11"/>
      <c r="F11" s="1">
        <f t="array" ref="F11">IFERROR(INDEX($A$2:$A$500,SMALL(IF($B$2:$B$500&gt;0,ROW($B$2:$B$500)-ROW($B$1)),ROWS(F$2:F11))),0)</f>
        <v>0</v>
      </c>
    </row>
    <row r="12" spans="1:6" x14ac:dyDescent="0.3">
      <c r="A12"/>
      <c r="B12"/>
      <c r="C12"/>
      <c r="F12" s="1">
        <f t="array" ref="F12">IFERROR(INDEX($A$2:$A$500,SMALL(IF($B$2:$B$500&gt;0,ROW($B$2:$B$500)-ROW($B$1)),ROWS(F$2:F12))),0)</f>
        <v>0</v>
      </c>
    </row>
    <row r="13" spans="1:6" x14ac:dyDescent="0.3">
      <c r="A13"/>
      <c r="B13"/>
      <c r="C13"/>
      <c r="F13" s="1">
        <f t="array" ref="F13">IFERROR(INDEX($A$2:$A$500,SMALL(IF($B$2:$B$500&gt;0,ROW($B$2:$B$500)-ROW($B$1)),ROWS(F$2:F13))),0)</f>
        <v>0</v>
      </c>
    </row>
    <row r="14" spans="1:6" x14ac:dyDescent="0.3">
      <c r="A14"/>
      <c r="B14"/>
      <c r="C14"/>
      <c r="F14" s="1">
        <f t="array" ref="F14">IFERROR(INDEX($A$2:$A$500,SMALL(IF($B$2:$B$500&gt;0,ROW($B$2:$B$500)-ROW($B$1)),ROWS(F$2:F14))),0)</f>
        <v>0</v>
      </c>
    </row>
    <row r="15" spans="1:6" x14ac:dyDescent="0.3">
      <c r="A15"/>
      <c r="B15"/>
      <c r="C15"/>
      <c r="F15" s="1">
        <f t="array" ref="F15">IFERROR(INDEX($A$2:$A$500,SMALL(IF($B$2:$B$500&gt;0,ROW($B$2:$B$500)-ROW($B$1)),ROWS(F$2:F15))),0)</f>
        <v>0</v>
      </c>
    </row>
    <row r="16" spans="1:6" x14ac:dyDescent="0.3">
      <c r="A16"/>
      <c r="B16"/>
      <c r="C16"/>
      <c r="F16" s="1">
        <f t="array" ref="F16">IFERROR(INDEX($A$2:$A$500,SMALL(IF($B$2:$B$500&gt;0,ROW($B$2:$B$500)-ROW($B$1)),ROWS(F$2:F16))),0)</f>
        <v>0</v>
      </c>
    </row>
    <row r="17" spans="1:6" x14ac:dyDescent="0.3">
      <c r="A17"/>
      <c r="B17"/>
      <c r="C17"/>
      <c r="F17" s="1">
        <f t="array" ref="F17">IFERROR(INDEX($A$2:$A$500,SMALL(IF($B$2:$B$500&gt;0,ROW($B$2:$B$500)-ROW($B$1)),ROWS(F$2:F17))),0)</f>
        <v>0</v>
      </c>
    </row>
    <row r="18" spans="1:6" x14ac:dyDescent="0.3">
      <c r="A18"/>
      <c r="B18"/>
      <c r="C18"/>
      <c r="F18" s="1">
        <f t="array" ref="F18">IFERROR(INDEX($A$2:$A$500,SMALL(IF($B$2:$B$500&gt;0,ROW($B$2:$B$500)-ROW($B$1)),ROWS(F$2:F18))),0)</f>
        <v>0</v>
      </c>
    </row>
    <row r="19" spans="1:6" x14ac:dyDescent="0.3">
      <c r="F19" s="1">
        <f t="array" ref="F19">IFERROR(INDEX($A$2:$A$500,SMALL(IF($B$2:$B$500&gt;0,ROW($B$2:$B$500)-ROW($B$1)),ROWS(F$2:F19))),0)</f>
        <v>0</v>
      </c>
    </row>
    <row r="20" spans="1:6" x14ac:dyDescent="0.3">
      <c r="F20" s="1">
        <f t="array" ref="F20">IFERROR(INDEX($A$2:$A$500,SMALL(IF($B$2:$B$500&gt;0,ROW($B$2:$B$500)-ROW($B$1)),ROWS(F$2:F20))),0)</f>
        <v>0</v>
      </c>
    </row>
    <row r="21" spans="1:6" x14ac:dyDescent="0.3">
      <c r="F21" s="1">
        <f t="array" ref="F21">IFERROR(INDEX($A$2:$A$500,SMALL(IF($B$2:$B$500&gt;0,ROW($B$2:$B$500)-ROW($B$1)),ROWS(F$2:F21))),0)</f>
        <v>0</v>
      </c>
    </row>
    <row r="22" spans="1:6" x14ac:dyDescent="0.3">
      <c r="F22" s="1">
        <f t="array" ref="F22">IFERROR(INDEX($A$2:$A$500,SMALL(IF($B$2:$B$500&gt;0,ROW($B$2:$B$500)-ROW($B$1)),ROWS(F$2:F22))),0)</f>
        <v>0</v>
      </c>
    </row>
    <row r="23" spans="1:6" x14ac:dyDescent="0.3">
      <c r="F23" s="1">
        <f t="array" ref="F23">IFERROR(INDEX($A$2:$A$500,SMALL(IF($B$2:$B$500&gt;0,ROW($B$2:$B$500)-ROW($B$1)),ROWS(F$2:F23))),0)</f>
        <v>0</v>
      </c>
    </row>
    <row r="24" spans="1:6" x14ac:dyDescent="0.3">
      <c r="F24" s="1">
        <f t="array" ref="F24">IFERROR(INDEX($A$2:$A$500,SMALL(IF($B$2:$B$500&gt;0,ROW($B$2:$B$500)-ROW($B$1)),ROWS(F$2:F24))),0)</f>
        <v>0</v>
      </c>
    </row>
    <row r="25" spans="1:6" x14ac:dyDescent="0.3">
      <c r="F25" s="1">
        <f t="array" ref="F25">IFERROR(INDEX($A$2:$A$500,SMALL(IF($B$2:$B$500&gt;0,ROW($B$2:$B$500)-ROW($B$1)),ROWS(F$2:F25))),0)</f>
        <v>0</v>
      </c>
    </row>
    <row r="26" spans="1:6" x14ac:dyDescent="0.3">
      <c r="F26" s="1">
        <f t="array" ref="F26">IFERROR(INDEX($A$2:$A$500,SMALL(IF($B$2:$B$500&gt;0,ROW($B$2:$B$500)-ROW($B$1)),ROWS(F$2:F26))),0)</f>
        <v>0</v>
      </c>
    </row>
    <row r="27" spans="1:6" x14ac:dyDescent="0.3">
      <c r="F27" s="1">
        <f t="array" ref="F27">IFERROR(INDEX($A$2:$A$500,SMALL(IF($B$2:$B$500&gt;0,ROW($B$2:$B$500)-ROW($B$1)),ROWS(F$2:F27))),0)</f>
        <v>0</v>
      </c>
    </row>
    <row r="28" spans="1:6" x14ac:dyDescent="0.3">
      <c r="F28" s="1">
        <f t="array" ref="F28">IFERROR(INDEX($A$2:$A$500,SMALL(IF($B$2:$B$500&gt;0,ROW($B$2:$B$500)-ROW($B$1)),ROWS(F$2:F28))),0)</f>
        <v>0</v>
      </c>
    </row>
    <row r="29" spans="1:6" x14ac:dyDescent="0.3">
      <c r="F29" s="1">
        <f t="array" ref="F29">IFERROR(INDEX($A$2:$A$500,SMALL(IF($B$2:$B$500&gt;0,ROW($B$2:$B$500)-ROW($B$1)),ROWS(F$2:F29))),0)</f>
        <v>0</v>
      </c>
    </row>
    <row r="30" spans="1:6" x14ac:dyDescent="0.3">
      <c r="F30" s="1">
        <f t="array" ref="F30">IFERROR(INDEX($A$2:$A$500,SMALL(IF($B$2:$B$500&gt;0,ROW($B$2:$B$500)-ROW($B$1)),ROWS(F$2:F30))),0)</f>
        <v>0</v>
      </c>
    </row>
    <row r="31" spans="1:6" x14ac:dyDescent="0.3">
      <c r="F31" s="1">
        <f t="array" ref="F31">IFERROR(INDEX($A$2:$A$500,SMALL(IF($B$2:$B$500&gt;0,ROW($B$2:$B$500)-ROW($B$1)),ROWS(F$2:F31))),0)</f>
        <v>0</v>
      </c>
    </row>
    <row r="32" spans="1:6" x14ac:dyDescent="0.3">
      <c r="F32" s="1">
        <f t="array" ref="F32">IFERROR(INDEX($A$2:$A$500,SMALL(IF($B$2:$B$500&gt;0,ROW($B$2:$B$500)-ROW($B$1)),ROWS(F$2:F32))),0)</f>
        <v>0</v>
      </c>
    </row>
    <row r="33" spans="6:6" x14ac:dyDescent="0.3">
      <c r="F33" s="1">
        <f t="array" ref="F33">IFERROR(INDEX($A$2:$A$500,SMALL(IF($B$2:$B$500&gt;0,ROW($B$2:$B$500)-ROW($B$1)),ROWS(F$2:F33))),0)</f>
        <v>0</v>
      </c>
    </row>
    <row r="34" spans="6:6" x14ac:dyDescent="0.3">
      <c r="F34" s="1">
        <f t="array" ref="F34">IFERROR(INDEX($A$2:$A$500,SMALL(IF($B$2:$B$500&gt;0,ROW($B$2:$B$500)-ROW($B$1)),ROWS(F$2:F34))),0)</f>
        <v>0</v>
      </c>
    </row>
    <row r="35" spans="6:6" x14ac:dyDescent="0.3">
      <c r="F35" s="1">
        <f t="array" ref="F35">IFERROR(INDEX($A$2:$A$500,SMALL(IF($B$2:$B$500&gt;0,ROW($B$2:$B$500)-ROW($B$1)),ROWS(F$2:F35))),0)</f>
        <v>0</v>
      </c>
    </row>
    <row r="36" spans="6:6" x14ac:dyDescent="0.3">
      <c r="F36" s="1">
        <f t="array" ref="F36">IFERROR(INDEX($A$2:$A$500,SMALL(IF($B$2:$B$500&gt;0,ROW($B$2:$B$500)-ROW($B$1)),ROWS(F$2:F36))),0)</f>
        <v>0</v>
      </c>
    </row>
    <row r="37" spans="6:6" x14ac:dyDescent="0.3">
      <c r="F37" s="1">
        <f t="array" ref="F37">IFERROR(INDEX($A$2:$A$500,SMALL(IF($B$2:$B$500&gt;0,ROW($B$2:$B$500)-ROW($B$1)),ROWS(F$2:F37))),0)</f>
        <v>0</v>
      </c>
    </row>
    <row r="38" spans="6:6" x14ac:dyDescent="0.3">
      <c r="F38" s="1">
        <f t="array" ref="F38">IFERROR(INDEX($A$2:$A$500,SMALL(IF($B$2:$B$500&gt;0,ROW($B$2:$B$500)-ROW($B$1)),ROWS(F$2:F38))),0)</f>
        <v>0</v>
      </c>
    </row>
    <row r="39" spans="6:6" x14ac:dyDescent="0.3">
      <c r="F39" s="1">
        <f t="array" ref="F39">IFERROR(INDEX($A$2:$A$500,SMALL(IF($B$2:$B$500&gt;0,ROW($B$2:$B$500)-ROW($B$1)),ROWS(F$2:F39))),0)</f>
        <v>0</v>
      </c>
    </row>
    <row r="40" spans="6:6" x14ac:dyDescent="0.3">
      <c r="F40" s="1">
        <f t="array" ref="F40">IFERROR(INDEX($A$2:$A$500,SMALL(IF($B$2:$B$500&gt;0,ROW($B$2:$B$500)-ROW($B$1)),ROWS(F$2:F40))),0)</f>
        <v>0</v>
      </c>
    </row>
    <row r="41" spans="6:6" x14ac:dyDescent="0.3">
      <c r="F41" s="1">
        <f t="array" ref="F41">IFERROR(INDEX($A$2:$A$500,SMALL(IF($B$2:$B$500&gt;0,ROW($B$2:$B$500)-ROW($B$1)),ROWS(F$2:F41))),0)</f>
        <v>0</v>
      </c>
    </row>
    <row r="42" spans="6:6" x14ac:dyDescent="0.3">
      <c r="F42" s="1">
        <f t="array" ref="F42">IFERROR(INDEX($A$2:$A$500,SMALL(IF($B$2:$B$500&gt;0,ROW($B$2:$B$500)-ROW($B$1)),ROWS(F$2:F42))),0)</f>
        <v>0</v>
      </c>
    </row>
    <row r="43" spans="6:6" x14ac:dyDescent="0.3">
      <c r="F43" s="1">
        <f t="array" ref="F43">IFERROR(INDEX($A$2:$A$500,SMALL(IF($B$2:$B$500&gt;0,ROW($B$2:$B$500)-ROW($B$1)),ROWS(F$2:F43))),0)</f>
        <v>0</v>
      </c>
    </row>
    <row r="44" spans="6:6" x14ac:dyDescent="0.3">
      <c r="F44" s="1">
        <f t="array" ref="F44">IFERROR(INDEX($A$2:$A$500,SMALL(IF($B$2:$B$500&gt;0,ROW($B$2:$B$500)-ROW($B$1)),ROWS(F$2:F44))),0)</f>
        <v>0</v>
      </c>
    </row>
    <row r="45" spans="6:6" x14ac:dyDescent="0.3">
      <c r="F45" s="1">
        <f t="array" ref="F45">IFERROR(INDEX($A$2:$A$500,SMALL(IF($B$2:$B$500&gt;0,ROW($B$2:$B$500)-ROW($B$1)),ROWS(F$2:F45))),0)</f>
        <v>0</v>
      </c>
    </row>
    <row r="46" spans="6:6" x14ac:dyDescent="0.3">
      <c r="F46" s="1">
        <f t="array" ref="F46">IFERROR(INDEX($A$2:$A$500,SMALL(IF($B$2:$B$500&gt;0,ROW($B$2:$B$500)-ROW($B$1)),ROWS(F$2:F46))),0)</f>
        <v>0</v>
      </c>
    </row>
    <row r="47" spans="6:6" x14ac:dyDescent="0.3">
      <c r="F47" s="1">
        <f t="array" ref="F47">IFERROR(INDEX($A$2:$A$500,SMALL(IF($B$2:$B$500&gt;0,ROW($B$2:$B$500)-ROW($B$1)),ROWS(F$2:F47))),0)</f>
        <v>0</v>
      </c>
    </row>
    <row r="48" spans="6:6" x14ac:dyDescent="0.3">
      <c r="F48" s="1">
        <f t="array" ref="F48">IFERROR(INDEX($A$2:$A$500,SMALL(IF($B$2:$B$500&gt;0,ROW($B$2:$B$500)-ROW($B$1)),ROWS(F$2:F48))),0)</f>
        <v>0</v>
      </c>
    </row>
    <row r="49" spans="6:6" x14ac:dyDescent="0.3">
      <c r="F49" s="1">
        <f t="array" ref="F49">IFERROR(INDEX($A$2:$A$500,SMALL(IF($B$2:$B$500&gt;0,ROW($B$2:$B$500)-ROW($B$1)),ROWS(F$2:F49))),0)</f>
        <v>0</v>
      </c>
    </row>
    <row r="50" spans="6:6" x14ac:dyDescent="0.3">
      <c r="F50" s="1">
        <f t="array" ref="F50">IFERROR(INDEX($A$2:$A$500,SMALL(IF($B$2:$B$500&gt;0,ROW($B$2:$B$500)-ROW($B$1)),ROWS(F$2:F50))),0)</f>
        <v>0</v>
      </c>
    </row>
    <row r="51" spans="6:6" x14ac:dyDescent="0.3">
      <c r="F51" s="1">
        <f t="array" ref="F51">IFERROR(INDEX($A$2:$A$500,SMALL(IF($B$2:$B$500&gt;0,ROW($B$2:$B$500)-ROW($B$1)),ROWS(F$2:F51))),0)</f>
        <v>0</v>
      </c>
    </row>
    <row r="52" spans="6:6" x14ac:dyDescent="0.3">
      <c r="F52" s="1">
        <f t="array" ref="F52">IFERROR(INDEX($A$2:$A$500,SMALL(IF($B$2:$B$500&gt;0,ROW($B$2:$B$500)-ROW($B$1)),ROWS(F$2:F52))),0)</f>
        <v>0</v>
      </c>
    </row>
    <row r="53" spans="6:6" x14ac:dyDescent="0.3">
      <c r="F53" s="1">
        <f t="array" ref="F53">IFERROR(INDEX($A$2:$A$500,SMALL(IF($B$2:$B$500&gt;0,ROW($B$2:$B$500)-ROW($B$1)),ROWS(F$2:F53))),0)</f>
        <v>0</v>
      </c>
    </row>
    <row r="54" spans="6:6" x14ac:dyDescent="0.3">
      <c r="F54" s="1">
        <f t="array" ref="F54">IFERROR(INDEX($A$2:$A$500,SMALL(IF($B$2:$B$500&gt;0,ROW($B$2:$B$500)-ROW($B$1)),ROWS(F$2:F54))),0)</f>
        <v>0</v>
      </c>
    </row>
    <row r="55" spans="6:6" x14ac:dyDescent="0.3">
      <c r="F55" s="1">
        <f t="array" ref="F55">IFERROR(INDEX($A$2:$A$500,SMALL(IF($B$2:$B$500&gt;0,ROW($B$2:$B$500)-ROW($B$1)),ROWS(F$2:F55))),0)</f>
        <v>0</v>
      </c>
    </row>
    <row r="56" spans="6:6" x14ac:dyDescent="0.3">
      <c r="F56" s="1">
        <f t="array" ref="F56">IFERROR(INDEX($A$2:$A$500,SMALL(IF($B$2:$B$500&gt;0,ROW($B$2:$B$500)-ROW($B$1)),ROWS(F$2:F56))),0)</f>
        <v>0</v>
      </c>
    </row>
    <row r="57" spans="6:6" x14ac:dyDescent="0.3">
      <c r="F57" s="1">
        <f t="array" ref="F57">IFERROR(INDEX($A$2:$A$500,SMALL(IF($B$2:$B$500&gt;0,ROW($B$2:$B$500)-ROW($B$1)),ROWS(F$2:F57))),0)</f>
        <v>0</v>
      </c>
    </row>
    <row r="58" spans="6:6" x14ac:dyDescent="0.3">
      <c r="F58" s="1">
        <f t="array" ref="F58">IFERROR(INDEX($A$2:$A$500,SMALL(IF($B$2:$B$500&gt;0,ROW($B$2:$B$500)-ROW($B$1)),ROWS(F$2:F58))),0)</f>
        <v>0</v>
      </c>
    </row>
    <row r="59" spans="6:6" x14ac:dyDescent="0.3">
      <c r="F59" s="1">
        <f t="array" ref="F59">IFERROR(INDEX($A$2:$A$500,SMALL(IF($B$2:$B$500&gt;0,ROW($B$2:$B$500)-ROW($B$1)),ROWS(F$2:F59))),0)</f>
        <v>0</v>
      </c>
    </row>
    <row r="60" spans="6:6" x14ac:dyDescent="0.3">
      <c r="F60" s="1">
        <f t="array" ref="F60">IFERROR(INDEX($A$2:$A$500,SMALL(IF($B$2:$B$500&gt;0,ROW($B$2:$B$500)-ROW($B$1)),ROWS(F$2:F60))),0)</f>
        <v>0</v>
      </c>
    </row>
    <row r="61" spans="6:6" x14ac:dyDescent="0.3">
      <c r="F61" s="1">
        <f t="array" ref="F61">IFERROR(INDEX($A$2:$A$500,SMALL(IF($B$2:$B$500&gt;0,ROW($B$2:$B$500)-ROW($B$1)),ROWS(F$2:F61))),0)</f>
        <v>0</v>
      </c>
    </row>
    <row r="62" spans="6:6" x14ac:dyDescent="0.3">
      <c r="F62" s="1">
        <f t="array" ref="F62">IFERROR(INDEX($A$2:$A$500,SMALL(IF($B$2:$B$500&gt;0,ROW($B$2:$B$500)-ROW($B$1)),ROWS(F$2:F62))),0)</f>
        <v>0</v>
      </c>
    </row>
    <row r="63" spans="6:6" x14ac:dyDescent="0.3">
      <c r="F63" s="1">
        <f t="array" ref="F63">IFERROR(INDEX($A$2:$A$500,SMALL(IF($B$2:$B$500&gt;0,ROW($B$2:$B$500)-ROW($B$1)),ROWS(F$2:F63))),0)</f>
        <v>0</v>
      </c>
    </row>
    <row r="64" spans="6:6" x14ac:dyDescent="0.3">
      <c r="F64" s="1">
        <f t="array" ref="F64">IFERROR(INDEX($A$2:$A$500,SMALL(IF($B$2:$B$500&gt;0,ROW($B$2:$B$500)-ROW($B$1)),ROWS(F$2:F64))),0)</f>
        <v>0</v>
      </c>
    </row>
    <row r="65" spans="6:6" x14ac:dyDescent="0.3">
      <c r="F65" s="1">
        <f t="array" ref="F65">IFERROR(INDEX($A$2:$A$500,SMALL(IF($B$2:$B$500&gt;0,ROW($B$2:$B$500)-ROW($B$1)),ROWS(F$2:F65))),0)</f>
        <v>0</v>
      </c>
    </row>
    <row r="66" spans="6:6" x14ac:dyDescent="0.3">
      <c r="F66" s="1">
        <f t="array" ref="F66">IFERROR(INDEX($A$2:$A$500,SMALL(IF($B$2:$B$500&gt;0,ROW($B$2:$B$500)-ROW($B$1)),ROWS(F$2:F66))),0)</f>
        <v>0</v>
      </c>
    </row>
    <row r="67" spans="6:6" x14ac:dyDescent="0.3">
      <c r="F67" s="1">
        <f t="array" ref="F67">IFERROR(INDEX($A$2:$A$500,SMALL(IF($B$2:$B$500&gt;0,ROW($B$2:$B$500)-ROW($B$1)),ROWS(F$2:F67))),0)</f>
        <v>0</v>
      </c>
    </row>
    <row r="68" spans="6:6" x14ac:dyDescent="0.3">
      <c r="F68" s="1">
        <f t="array" ref="F68">IFERROR(INDEX($A$2:$A$500,SMALL(IF($B$2:$B$500&gt;0,ROW($B$2:$B$500)-ROW($B$1)),ROWS(F$2:F68))),0)</f>
        <v>0</v>
      </c>
    </row>
    <row r="69" spans="6:6" x14ac:dyDescent="0.3">
      <c r="F69" s="1">
        <f t="array" ref="F69">IFERROR(INDEX($A$2:$A$500,SMALL(IF($B$2:$B$500&gt;0,ROW($B$2:$B$500)-ROW($B$1)),ROWS(F$2:F69))),0)</f>
        <v>0</v>
      </c>
    </row>
    <row r="70" spans="6:6" x14ac:dyDescent="0.3">
      <c r="F70" s="1">
        <f t="array" ref="F70">IFERROR(INDEX($A$2:$A$500,SMALL(IF($B$2:$B$500&gt;0,ROW($B$2:$B$500)-ROW($B$1)),ROWS(F$2:F70))),0)</f>
        <v>0</v>
      </c>
    </row>
    <row r="71" spans="6:6" x14ac:dyDescent="0.3">
      <c r="F71" s="1">
        <f t="array" ref="F71">IFERROR(INDEX($A$2:$A$500,SMALL(IF($B$2:$B$500&gt;0,ROW($B$2:$B$500)-ROW($B$1)),ROWS(F$2:F71))),0)</f>
        <v>0</v>
      </c>
    </row>
    <row r="72" spans="6:6" x14ac:dyDescent="0.3">
      <c r="F72" s="1">
        <f t="array" ref="F72">IFERROR(INDEX($A$2:$A$500,SMALL(IF($B$2:$B$500&gt;0,ROW($B$2:$B$500)-ROW($B$1)),ROWS(F$2:F72))),0)</f>
        <v>0</v>
      </c>
    </row>
    <row r="73" spans="6:6" x14ac:dyDescent="0.3">
      <c r="F73" s="1">
        <f t="array" ref="F73">IFERROR(INDEX($A$2:$A$500,SMALL(IF($B$2:$B$500&gt;0,ROW($B$2:$B$500)-ROW($B$1)),ROWS(F$2:F73))),0)</f>
        <v>0</v>
      </c>
    </row>
    <row r="74" spans="6:6" x14ac:dyDescent="0.3">
      <c r="F74" s="1">
        <f t="array" ref="F74">IFERROR(INDEX($A$2:$A$500,SMALL(IF($B$2:$B$500&gt;0,ROW($B$2:$B$500)-ROW($B$1)),ROWS(F$2:F74))),0)</f>
        <v>0</v>
      </c>
    </row>
    <row r="75" spans="6:6" x14ac:dyDescent="0.3">
      <c r="F75" s="1">
        <f t="array" ref="F75">IFERROR(INDEX($A$2:$A$500,SMALL(IF($B$2:$B$500&gt;0,ROW($B$2:$B$500)-ROW($B$1)),ROWS(F$2:F75))),0)</f>
        <v>0</v>
      </c>
    </row>
    <row r="76" spans="6:6" x14ac:dyDescent="0.3">
      <c r="F76" s="1">
        <f t="array" ref="F76">IFERROR(INDEX($A$2:$A$500,SMALL(IF($B$2:$B$500&gt;0,ROW($B$2:$B$500)-ROW($B$1)),ROWS(F$2:F76))),0)</f>
        <v>0</v>
      </c>
    </row>
    <row r="77" spans="6:6" x14ac:dyDescent="0.3">
      <c r="F77" s="1">
        <f t="array" ref="F77">IFERROR(INDEX($A$2:$A$500,SMALL(IF($B$2:$B$500&gt;0,ROW($B$2:$B$500)-ROW($B$1)),ROWS(F$2:F77))),0)</f>
        <v>0</v>
      </c>
    </row>
    <row r="78" spans="6:6" x14ac:dyDescent="0.3">
      <c r="F78" s="1">
        <f t="array" ref="F78">IFERROR(INDEX($A$2:$A$500,SMALL(IF($B$2:$B$500&gt;0,ROW($B$2:$B$500)-ROW($B$1)),ROWS(F$2:F78))),0)</f>
        <v>0</v>
      </c>
    </row>
    <row r="79" spans="6:6" x14ac:dyDescent="0.3">
      <c r="F79" s="1">
        <f t="array" ref="F79">IFERROR(INDEX($A$2:$A$500,SMALL(IF($B$2:$B$500&gt;0,ROW($B$2:$B$500)-ROW($B$1)),ROWS(F$2:F79))),0)</f>
        <v>0</v>
      </c>
    </row>
    <row r="80" spans="6:6" x14ac:dyDescent="0.3">
      <c r="F80" s="1">
        <f t="array" ref="F80">IFERROR(INDEX($A$2:$A$500,SMALL(IF($B$2:$B$500&gt;0,ROW($B$2:$B$500)-ROW($B$1)),ROWS(F$2:F80))),0)</f>
        <v>0</v>
      </c>
    </row>
    <row r="81" spans="6:6" x14ac:dyDescent="0.3">
      <c r="F81" s="1">
        <f t="array" ref="F81">IFERROR(INDEX($A$2:$A$500,SMALL(IF($B$2:$B$500&gt;0,ROW($B$2:$B$500)-ROW($B$1)),ROWS(F$2:F81))),0)</f>
        <v>0</v>
      </c>
    </row>
    <row r="82" spans="6:6" x14ac:dyDescent="0.3">
      <c r="F82" s="1">
        <f t="array" ref="F82">IFERROR(INDEX($A$2:$A$500,SMALL(IF($B$2:$B$500&gt;0,ROW($B$2:$B$500)-ROW($B$1)),ROWS(F$2:F82))),0)</f>
        <v>0</v>
      </c>
    </row>
    <row r="83" spans="6:6" x14ac:dyDescent="0.3">
      <c r="F83" s="1">
        <f t="array" ref="F83">IFERROR(INDEX($A$2:$A$500,SMALL(IF($B$2:$B$500&gt;0,ROW($B$2:$B$500)-ROW($B$1)),ROWS(F$2:F83))),0)</f>
        <v>0</v>
      </c>
    </row>
    <row r="84" spans="6:6" x14ac:dyDescent="0.3">
      <c r="F84" s="1">
        <f t="array" ref="F84">IFERROR(INDEX($A$2:$A$500,SMALL(IF($B$2:$B$500&gt;0,ROW($B$2:$B$500)-ROW($B$1)),ROWS(F$2:F84))),0)</f>
        <v>0</v>
      </c>
    </row>
    <row r="85" spans="6:6" x14ac:dyDescent="0.3">
      <c r="F85" s="1">
        <f t="array" ref="F85">IFERROR(INDEX($A$2:$A$500,SMALL(IF($B$2:$B$500&gt;0,ROW($B$2:$B$500)-ROW($B$1)),ROWS(F$2:F85))),0)</f>
        <v>0</v>
      </c>
    </row>
    <row r="86" spans="6:6" x14ac:dyDescent="0.3">
      <c r="F86" s="1">
        <f t="array" ref="F86">IFERROR(INDEX($A$2:$A$500,SMALL(IF($B$2:$B$500&gt;0,ROW($B$2:$B$500)-ROW($B$1)),ROWS(F$2:F86))),0)</f>
        <v>0</v>
      </c>
    </row>
    <row r="87" spans="6:6" x14ac:dyDescent="0.3">
      <c r="F87" s="1">
        <f t="array" ref="F87">IFERROR(INDEX($A$2:$A$500,SMALL(IF($B$2:$B$500&gt;0,ROW($B$2:$B$500)-ROW($B$1)),ROWS(F$2:F87))),0)</f>
        <v>0</v>
      </c>
    </row>
    <row r="88" spans="6:6" x14ac:dyDescent="0.3">
      <c r="F88" s="1">
        <f t="array" ref="F88">IFERROR(INDEX($A$2:$A$500,SMALL(IF($B$2:$B$500&gt;0,ROW($B$2:$B$500)-ROW($B$1)),ROWS(F$2:F88))),0)</f>
        <v>0</v>
      </c>
    </row>
    <row r="89" spans="6:6" x14ac:dyDescent="0.3">
      <c r="F89" s="1">
        <f t="array" ref="F89">IFERROR(INDEX($A$2:$A$500,SMALL(IF($B$2:$B$500&gt;0,ROW($B$2:$B$500)-ROW($B$1)),ROWS(F$2:F89))),0)</f>
        <v>0</v>
      </c>
    </row>
    <row r="90" spans="6:6" x14ac:dyDescent="0.3">
      <c r="F90" s="1">
        <f t="array" ref="F90">IFERROR(INDEX($A$2:$A$500,SMALL(IF($B$2:$B$500&gt;0,ROW($B$2:$B$500)-ROW($B$1)),ROWS(F$2:F90))),0)</f>
        <v>0</v>
      </c>
    </row>
    <row r="91" spans="6:6" x14ac:dyDescent="0.3">
      <c r="F91" s="1">
        <f t="array" ref="F91">IFERROR(INDEX($A$2:$A$500,SMALL(IF($B$2:$B$500&gt;0,ROW($B$2:$B$500)-ROW($B$1)),ROWS(F$2:F91))),0)</f>
        <v>0</v>
      </c>
    </row>
    <row r="92" spans="6:6" x14ac:dyDescent="0.3">
      <c r="F92" s="1">
        <f t="array" ref="F92">IFERROR(INDEX($A$2:$A$500,SMALL(IF($B$2:$B$500&gt;0,ROW($B$2:$B$500)-ROW($B$1)),ROWS(F$2:F92))),0)</f>
        <v>0</v>
      </c>
    </row>
    <row r="93" spans="6:6" x14ac:dyDescent="0.3">
      <c r="F93" s="1">
        <f t="array" ref="F93">IFERROR(INDEX($A$2:$A$500,SMALL(IF($B$2:$B$500&gt;0,ROW($B$2:$B$500)-ROW($B$1)),ROWS(F$2:F93))),0)</f>
        <v>0</v>
      </c>
    </row>
    <row r="94" spans="6:6" x14ac:dyDescent="0.3">
      <c r="F94" s="1">
        <f t="array" ref="F94">IFERROR(INDEX($A$2:$A$500,SMALL(IF($B$2:$B$500&gt;0,ROW($B$2:$B$500)-ROW($B$1)),ROWS(F$2:F94))),0)</f>
        <v>0</v>
      </c>
    </row>
    <row r="95" spans="6:6" x14ac:dyDescent="0.3">
      <c r="F95" s="1">
        <f t="array" ref="F95">IFERROR(INDEX($A$2:$A$500,SMALL(IF($B$2:$B$500&gt;0,ROW($B$2:$B$500)-ROW($B$1)),ROWS(F$2:F95))),0)</f>
        <v>0</v>
      </c>
    </row>
    <row r="96" spans="6:6" x14ac:dyDescent="0.3">
      <c r="F96" s="1">
        <f t="array" ref="F96">IFERROR(INDEX($A$2:$A$500,SMALL(IF($B$2:$B$500&gt;0,ROW($B$2:$B$500)-ROW($B$1)),ROWS(F$2:F96))),0)</f>
        <v>0</v>
      </c>
    </row>
    <row r="97" spans="6:6" x14ac:dyDescent="0.3">
      <c r="F97" s="1">
        <f t="array" ref="F97">IFERROR(INDEX($A$2:$A$500,SMALL(IF($B$2:$B$500&gt;0,ROW($B$2:$B$500)-ROW($B$1)),ROWS(F$2:F97))),0)</f>
        <v>0</v>
      </c>
    </row>
    <row r="98" spans="6:6" x14ac:dyDescent="0.3">
      <c r="F98" s="1">
        <f t="array" ref="F98">IFERROR(INDEX($A$2:$A$500,SMALL(IF($B$2:$B$500&gt;0,ROW($B$2:$B$500)-ROW($B$1)),ROWS(F$2:F98))),0)</f>
        <v>0</v>
      </c>
    </row>
    <row r="99" spans="6:6" x14ac:dyDescent="0.3">
      <c r="F99" s="1">
        <f t="array" ref="F99">IFERROR(INDEX($A$2:$A$500,SMALL(IF($B$2:$B$500&gt;0,ROW($B$2:$B$500)-ROW($B$1)),ROWS(F$2:F99))),0)</f>
        <v>0</v>
      </c>
    </row>
    <row r="100" spans="6:6" x14ac:dyDescent="0.3">
      <c r="F100" s="1">
        <f t="array" ref="F100">IFERROR(INDEX($A$2:$A$500,SMALL(IF($B$2:$B$500&gt;0,ROW($B$2:$B$500)-ROW($B$1)),ROWS(F$2:F100))),0)</f>
        <v>0</v>
      </c>
    </row>
    <row r="101" spans="6:6" x14ac:dyDescent="0.3">
      <c r="F101" s="1">
        <f t="array" ref="F101">IFERROR(INDEX($A$2:$A$500,SMALL(IF($B$2:$B$500&gt;0,ROW($B$2:$B$500)-ROW($B$1)),ROWS(F$2:F101))),0)</f>
        <v>0</v>
      </c>
    </row>
    <row r="102" spans="6:6" x14ac:dyDescent="0.3">
      <c r="F102" s="1">
        <f t="array" ref="F102">IFERROR(INDEX($A$2:$A$500,SMALL(IF($B$2:$B$500&gt;0,ROW($B$2:$B$500)-ROW($B$1)),ROWS(F$2:F102))),0)</f>
        <v>0</v>
      </c>
    </row>
    <row r="103" spans="6:6" x14ac:dyDescent="0.3">
      <c r="F103" s="1">
        <f t="array" ref="F103">IFERROR(INDEX($A$2:$A$500,SMALL(IF($B$2:$B$500&gt;0,ROW($B$2:$B$500)-ROW($B$1)),ROWS(F$2:F103))),0)</f>
        <v>0</v>
      </c>
    </row>
    <row r="104" spans="6:6" x14ac:dyDescent="0.3">
      <c r="F104" s="1">
        <f t="array" ref="F104">IFERROR(INDEX($A$2:$A$500,SMALL(IF($B$2:$B$500&gt;0,ROW($B$2:$B$500)-ROW($B$1)),ROWS(F$2:F104))),0)</f>
        <v>0</v>
      </c>
    </row>
    <row r="105" spans="6:6" x14ac:dyDescent="0.3">
      <c r="F105" s="1">
        <f t="array" ref="F105">IFERROR(INDEX($A$2:$A$500,SMALL(IF($B$2:$B$500&gt;0,ROW($B$2:$B$500)-ROW($B$1)),ROWS(F$2:F105))),0)</f>
        <v>0</v>
      </c>
    </row>
    <row r="106" spans="6:6" x14ac:dyDescent="0.3">
      <c r="F106" s="1">
        <f t="array" ref="F106">IFERROR(INDEX($A$2:$A$500,SMALL(IF($B$2:$B$500&gt;0,ROW($B$2:$B$500)-ROW($B$1)),ROWS(F$2:F106))),0)</f>
        <v>0</v>
      </c>
    </row>
    <row r="107" spans="6:6" x14ac:dyDescent="0.3">
      <c r="F107" s="1">
        <f t="array" ref="F107">IFERROR(INDEX($A$2:$A$500,SMALL(IF($B$2:$B$500&gt;0,ROW($B$2:$B$500)-ROW($B$1)),ROWS(F$2:F107))),0)</f>
        <v>0</v>
      </c>
    </row>
    <row r="108" spans="6:6" x14ac:dyDescent="0.3">
      <c r="F108" s="1">
        <f t="array" ref="F108">IFERROR(INDEX($A$2:$A$500,SMALL(IF($B$2:$B$500&gt;0,ROW($B$2:$B$500)-ROW($B$1)),ROWS(F$2:F108))),0)</f>
        <v>0</v>
      </c>
    </row>
    <row r="109" spans="6:6" x14ac:dyDescent="0.3">
      <c r="F109" s="1">
        <f t="array" ref="F109">IFERROR(INDEX($A$2:$A$500,SMALL(IF($B$2:$B$500&gt;0,ROW($B$2:$B$500)-ROW($B$1)),ROWS(F$2:F109))),0)</f>
        <v>0</v>
      </c>
    </row>
    <row r="110" spans="6:6" x14ac:dyDescent="0.3">
      <c r="F110" s="1">
        <f t="array" ref="F110">IFERROR(INDEX($A$2:$A$500,SMALL(IF($B$2:$B$500&gt;0,ROW($B$2:$B$500)-ROW($B$1)),ROWS(F$2:F110))),0)</f>
        <v>0</v>
      </c>
    </row>
    <row r="111" spans="6:6" x14ac:dyDescent="0.3">
      <c r="F111" s="1">
        <f t="array" ref="F111">IFERROR(INDEX($A$2:$A$500,SMALL(IF($B$2:$B$500&gt;0,ROW($B$2:$B$500)-ROW($B$1)),ROWS(F$2:F111))),0)</f>
        <v>0</v>
      </c>
    </row>
    <row r="112" spans="6:6" x14ac:dyDescent="0.3">
      <c r="F112" s="1">
        <f t="array" ref="F112">IFERROR(INDEX($A$2:$A$500,SMALL(IF($B$2:$B$500&gt;0,ROW($B$2:$B$500)-ROW($B$1)),ROWS(F$2:F112))),0)</f>
        <v>0</v>
      </c>
    </row>
    <row r="113" spans="6:6" x14ac:dyDescent="0.3">
      <c r="F113" s="1">
        <f t="array" ref="F113">IFERROR(INDEX($A$2:$A$500,SMALL(IF($B$2:$B$500&gt;0,ROW($B$2:$B$500)-ROW($B$1)),ROWS(F$2:F113))),0)</f>
        <v>0</v>
      </c>
    </row>
    <row r="114" spans="6:6" x14ac:dyDescent="0.3">
      <c r="F114" s="1">
        <f t="array" ref="F114">IFERROR(INDEX($A$2:$A$500,SMALL(IF($B$2:$B$500&gt;0,ROW($B$2:$B$500)-ROW($B$1)),ROWS(F$2:F114))),0)</f>
        <v>0</v>
      </c>
    </row>
    <row r="115" spans="6:6" x14ac:dyDescent="0.3">
      <c r="F115" s="1">
        <f t="array" ref="F115">IFERROR(INDEX($A$2:$A$500,SMALL(IF($B$2:$B$500&gt;0,ROW($B$2:$B$500)-ROW($B$1)),ROWS(F$2:F115))),0)</f>
        <v>0</v>
      </c>
    </row>
    <row r="116" spans="6:6" x14ac:dyDescent="0.3">
      <c r="F116" s="1">
        <f t="array" ref="F116">IFERROR(INDEX($A$2:$A$500,SMALL(IF($B$2:$B$500&gt;0,ROW($B$2:$B$500)-ROW($B$1)),ROWS(F$2:F116))),0)</f>
        <v>0</v>
      </c>
    </row>
    <row r="117" spans="6:6" x14ac:dyDescent="0.3">
      <c r="F117" s="1">
        <f t="array" ref="F117">IFERROR(INDEX($A$2:$A$500,SMALL(IF($B$2:$B$500&gt;0,ROW($B$2:$B$500)-ROW($B$1)),ROWS(F$2:F117))),0)</f>
        <v>0</v>
      </c>
    </row>
    <row r="118" spans="6:6" x14ac:dyDescent="0.3">
      <c r="F118" s="1">
        <f t="array" ref="F118">IFERROR(INDEX($A$2:$A$500,SMALL(IF($B$2:$B$500&gt;0,ROW($B$2:$B$500)-ROW($B$1)),ROWS(F$2:F118))),0)</f>
        <v>0</v>
      </c>
    </row>
    <row r="119" spans="6:6" x14ac:dyDescent="0.3">
      <c r="F119" s="1">
        <f t="array" ref="F119">IFERROR(INDEX($A$2:$A$500,SMALL(IF($B$2:$B$500&gt;0,ROW($B$2:$B$500)-ROW($B$1)),ROWS(F$2:F119))),0)</f>
        <v>0</v>
      </c>
    </row>
    <row r="120" spans="6:6" x14ac:dyDescent="0.3">
      <c r="F120" s="1">
        <f t="array" ref="F120">IFERROR(INDEX($A$2:$A$500,SMALL(IF($B$2:$B$500&gt;0,ROW($B$2:$B$500)-ROW($B$1)),ROWS(F$2:F120))),0)</f>
        <v>0</v>
      </c>
    </row>
    <row r="121" spans="6:6" x14ac:dyDescent="0.3">
      <c r="F121" s="1">
        <f t="array" ref="F121">IFERROR(INDEX($A$2:$A$500,SMALL(IF($B$2:$B$500&gt;0,ROW($B$2:$B$500)-ROW($B$1)),ROWS(F$2:F121))),0)</f>
        <v>0</v>
      </c>
    </row>
    <row r="122" spans="6:6" x14ac:dyDescent="0.3">
      <c r="F122" s="1">
        <f t="array" ref="F122">IFERROR(INDEX($A$2:$A$500,SMALL(IF($B$2:$B$500&gt;0,ROW($B$2:$B$500)-ROW($B$1)),ROWS(F$2:F122))),0)</f>
        <v>0</v>
      </c>
    </row>
    <row r="123" spans="6:6" x14ac:dyDescent="0.3">
      <c r="F123" s="1">
        <f t="array" ref="F123">IFERROR(INDEX($A$2:$A$500,SMALL(IF($B$2:$B$500&gt;0,ROW($B$2:$B$500)-ROW($B$1)),ROWS(F$2:F123))),0)</f>
        <v>0</v>
      </c>
    </row>
    <row r="124" spans="6:6" x14ac:dyDescent="0.3">
      <c r="F124" s="1">
        <f t="array" ref="F124">IFERROR(INDEX($A$2:$A$500,SMALL(IF($B$2:$B$500&gt;0,ROW($B$2:$B$500)-ROW($B$1)),ROWS(F$2:F124))),0)</f>
        <v>0</v>
      </c>
    </row>
    <row r="125" spans="6:6" x14ac:dyDescent="0.3">
      <c r="F125" s="1">
        <f t="array" ref="F125">IFERROR(INDEX($A$2:$A$500,SMALL(IF($B$2:$B$500&gt;0,ROW($B$2:$B$500)-ROW($B$1)),ROWS(F$2:F125))),0)</f>
        <v>0</v>
      </c>
    </row>
    <row r="126" spans="6:6" x14ac:dyDescent="0.3">
      <c r="F126" s="1">
        <f t="array" ref="F126">IFERROR(INDEX($A$2:$A$500,SMALL(IF($B$2:$B$500&gt;0,ROW($B$2:$B$500)-ROW($B$1)),ROWS(F$2:F126))),0)</f>
        <v>0</v>
      </c>
    </row>
    <row r="127" spans="6:6" x14ac:dyDescent="0.3">
      <c r="F127" s="1">
        <f t="array" ref="F127">IFERROR(INDEX($A$2:$A$500,SMALL(IF($B$2:$B$500&gt;0,ROW($B$2:$B$500)-ROW($B$1)),ROWS(F$2:F127))),0)</f>
        <v>0</v>
      </c>
    </row>
    <row r="128" spans="6:6" x14ac:dyDescent="0.3">
      <c r="F128" s="1">
        <f t="array" ref="F128">IFERROR(INDEX($A$2:$A$500,SMALL(IF($B$2:$B$500&gt;0,ROW($B$2:$B$500)-ROW($B$1)),ROWS(F$2:F128))),0)</f>
        <v>0</v>
      </c>
    </row>
    <row r="129" spans="6:6" x14ac:dyDescent="0.3">
      <c r="F129" s="1">
        <f t="array" ref="F129">IFERROR(INDEX($A$2:$A$500,SMALL(IF($B$2:$B$500&gt;0,ROW($B$2:$B$500)-ROW($B$1)),ROWS(F$2:F129))),0)</f>
        <v>0</v>
      </c>
    </row>
    <row r="130" spans="6:6" x14ac:dyDescent="0.3">
      <c r="F130" s="1">
        <f t="array" ref="F130">IFERROR(INDEX($A$2:$A$500,SMALL(IF($B$2:$B$500&gt;0,ROW($B$2:$B$500)-ROW($B$1)),ROWS(F$2:F130))),0)</f>
        <v>0</v>
      </c>
    </row>
    <row r="131" spans="6:6" x14ac:dyDescent="0.3">
      <c r="F131" s="1">
        <f t="array" ref="F131">IFERROR(INDEX($A$2:$A$500,SMALL(IF($B$2:$B$500&gt;0,ROW($B$2:$B$500)-ROW($B$1)),ROWS(F$2:F131))),0)</f>
        <v>0</v>
      </c>
    </row>
    <row r="132" spans="6:6" x14ac:dyDescent="0.3">
      <c r="F132" s="1">
        <f t="array" ref="F132">IFERROR(INDEX($A$2:$A$500,SMALL(IF($B$2:$B$500&gt;0,ROW($B$2:$B$500)-ROW($B$1)),ROWS(F$2:F132))),0)</f>
        <v>0</v>
      </c>
    </row>
    <row r="133" spans="6:6" x14ac:dyDescent="0.3">
      <c r="F133" s="1">
        <f t="array" ref="F133">IFERROR(INDEX($A$2:$A$500,SMALL(IF($B$2:$B$500&gt;0,ROW($B$2:$B$500)-ROW($B$1)),ROWS(F$2:F133))),0)</f>
        <v>0</v>
      </c>
    </row>
    <row r="134" spans="6:6" x14ac:dyDescent="0.3">
      <c r="F134" s="1">
        <f t="array" ref="F134">IFERROR(INDEX($A$2:$A$500,SMALL(IF($B$2:$B$500&gt;0,ROW($B$2:$B$500)-ROW($B$1)),ROWS(F$2:F134))),0)</f>
        <v>0</v>
      </c>
    </row>
    <row r="135" spans="6:6" x14ac:dyDescent="0.3">
      <c r="F135" s="1">
        <f t="array" ref="F135">IFERROR(INDEX($A$2:$A$500,SMALL(IF($B$2:$B$500&gt;0,ROW($B$2:$B$500)-ROW($B$1)),ROWS(F$2:F135))),0)</f>
        <v>0</v>
      </c>
    </row>
    <row r="136" spans="6:6" x14ac:dyDescent="0.3">
      <c r="F136" s="1">
        <f t="array" ref="F136">IFERROR(INDEX($A$2:$A$500,SMALL(IF($B$2:$B$500&gt;0,ROW($B$2:$B$500)-ROW($B$1)),ROWS(F$2:F136))),0)</f>
        <v>0</v>
      </c>
    </row>
    <row r="137" spans="6:6" x14ac:dyDescent="0.3">
      <c r="F137" s="1">
        <f t="array" ref="F137">IFERROR(INDEX($A$2:$A$500,SMALL(IF($B$2:$B$500&gt;0,ROW($B$2:$B$500)-ROW($B$1)),ROWS(F$2:F137))),0)</f>
        <v>0</v>
      </c>
    </row>
    <row r="138" spans="6:6" x14ac:dyDescent="0.3">
      <c r="F138" s="1">
        <f t="array" ref="F138">IFERROR(INDEX($A$2:$A$500,SMALL(IF($B$2:$B$500&gt;0,ROW($B$2:$B$500)-ROW($B$1)),ROWS(F$2:F138))),0)</f>
        <v>0</v>
      </c>
    </row>
    <row r="139" spans="6:6" x14ac:dyDescent="0.3">
      <c r="F139" s="1">
        <f t="array" ref="F139">IFERROR(INDEX($A$2:$A$500,SMALL(IF($B$2:$B$500&gt;0,ROW($B$2:$B$500)-ROW($B$1)),ROWS(F$2:F139))),0)</f>
        <v>0</v>
      </c>
    </row>
    <row r="140" spans="6:6" x14ac:dyDescent="0.3">
      <c r="F140" s="1">
        <f t="array" ref="F140">IFERROR(INDEX($A$2:$A$500,SMALL(IF($B$2:$B$500&gt;0,ROW($B$2:$B$500)-ROW($B$1)),ROWS(F$2:F140))),0)</f>
        <v>0</v>
      </c>
    </row>
    <row r="141" spans="6:6" x14ac:dyDescent="0.3">
      <c r="F141" s="1">
        <f t="array" ref="F141">IFERROR(INDEX($A$2:$A$500,SMALL(IF($B$2:$B$500&gt;0,ROW($B$2:$B$500)-ROW($B$1)),ROWS(F$2:F141))),0)</f>
        <v>0</v>
      </c>
    </row>
    <row r="142" spans="6:6" x14ac:dyDescent="0.3">
      <c r="F142" s="1">
        <f t="array" ref="F142">IFERROR(INDEX($A$2:$A$500,SMALL(IF($B$2:$B$500&gt;0,ROW($B$2:$B$500)-ROW($B$1)),ROWS(F$2:F142))),0)</f>
        <v>0</v>
      </c>
    </row>
    <row r="143" spans="6:6" x14ac:dyDescent="0.3">
      <c r="F143" s="1">
        <f t="array" ref="F143">IFERROR(INDEX($A$2:$A$500,SMALL(IF($B$2:$B$500&gt;0,ROW($B$2:$B$500)-ROW($B$1)),ROWS(F$2:F143))),0)</f>
        <v>0</v>
      </c>
    </row>
    <row r="144" spans="6:6" x14ac:dyDescent="0.3">
      <c r="F144" s="1">
        <f t="array" ref="F144">IFERROR(INDEX($A$2:$A$500,SMALL(IF($B$2:$B$500&gt;0,ROW($B$2:$B$500)-ROW($B$1)),ROWS(F$2:F144))),0)</f>
        <v>0</v>
      </c>
    </row>
    <row r="145" spans="6:6" x14ac:dyDescent="0.3">
      <c r="F145" s="1">
        <f t="array" ref="F145">IFERROR(INDEX($A$2:$A$500,SMALL(IF($B$2:$B$500&gt;0,ROW($B$2:$B$500)-ROW($B$1)),ROWS(F$2:F145))),0)</f>
        <v>0</v>
      </c>
    </row>
    <row r="146" spans="6:6" x14ac:dyDescent="0.3">
      <c r="F146" s="1">
        <f t="array" ref="F146">IFERROR(INDEX($A$2:$A$500,SMALL(IF($B$2:$B$500&gt;0,ROW($B$2:$B$500)-ROW($B$1)),ROWS(F$2:F146))),0)</f>
        <v>0</v>
      </c>
    </row>
    <row r="147" spans="6:6" x14ac:dyDescent="0.3">
      <c r="F147" s="1">
        <f t="array" ref="F147">IFERROR(INDEX($A$2:$A$500,SMALL(IF($B$2:$B$500&gt;0,ROW($B$2:$B$500)-ROW($B$1)),ROWS(F$2:F147))),0)</f>
        <v>0</v>
      </c>
    </row>
    <row r="148" spans="6:6" x14ac:dyDescent="0.3">
      <c r="F148" s="1">
        <f t="array" ref="F148">IFERROR(INDEX($A$2:$A$500,SMALL(IF($B$2:$B$500&gt;0,ROW($B$2:$B$500)-ROW($B$1)),ROWS(F$2:F148))),0)</f>
        <v>0</v>
      </c>
    </row>
    <row r="149" spans="6:6" x14ac:dyDescent="0.3">
      <c r="F149" s="1">
        <f t="array" ref="F149">IFERROR(INDEX($A$2:$A$500,SMALL(IF($B$2:$B$500&gt;0,ROW($B$2:$B$500)-ROW($B$1)),ROWS(F$2:F149))),0)</f>
        <v>0</v>
      </c>
    </row>
    <row r="150" spans="6:6" x14ac:dyDescent="0.3">
      <c r="F150" s="1">
        <f t="array" ref="F150">IFERROR(INDEX($A$2:$A$500,SMALL(IF($B$2:$B$500&gt;0,ROW($B$2:$B$500)-ROW($B$1)),ROWS(F$2:F150))),0)</f>
        <v>0</v>
      </c>
    </row>
    <row r="151" spans="6:6" x14ac:dyDescent="0.3">
      <c r="F151" s="1">
        <f t="array" ref="F151">IFERROR(INDEX($A$2:$A$500,SMALL(IF($B$2:$B$500&gt;0,ROW($B$2:$B$500)-ROW($B$1)),ROWS(F$2:F151))),0)</f>
        <v>0</v>
      </c>
    </row>
    <row r="152" spans="6:6" x14ac:dyDescent="0.3">
      <c r="F152" s="1">
        <f t="array" ref="F152">IFERROR(INDEX($A$2:$A$500,SMALL(IF($B$2:$B$500&gt;0,ROW($B$2:$B$500)-ROW($B$1)),ROWS(F$2:F152))),0)</f>
        <v>0</v>
      </c>
    </row>
    <row r="153" spans="6:6" x14ac:dyDescent="0.3">
      <c r="F153" s="1">
        <f t="array" ref="F153">IFERROR(INDEX($A$2:$A$500,SMALL(IF($B$2:$B$500&gt;0,ROW($B$2:$B$500)-ROW($B$1)),ROWS(F$2:F153))),0)</f>
        <v>0</v>
      </c>
    </row>
    <row r="154" spans="6:6" x14ac:dyDescent="0.3">
      <c r="F154" s="1">
        <f t="array" ref="F154">IFERROR(INDEX($A$2:$A$500,SMALL(IF($B$2:$B$500&gt;0,ROW($B$2:$B$500)-ROW($B$1)),ROWS(F$2:F154))),0)</f>
        <v>0</v>
      </c>
    </row>
    <row r="155" spans="6:6" x14ac:dyDescent="0.3">
      <c r="F155" s="1">
        <f t="array" ref="F155">IFERROR(INDEX($A$2:$A$500,SMALL(IF($B$2:$B$500&gt;0,ROW($B$2:$B$500)-ROW($B$1)),ROWS(F$2:F155))),0)</f>
        <v>0</v>
      </c>
    </row>
    <row r="156" spans="6:6" x14ac:dyDescent="0.3">
      <c r="F156" s="1">
        <f t="array" ref="F156">IFERROR(INDEX($A$2:$A$500,SMALL(IF($B$2:$B$500&gt;0,ROW($B$2:$B$500)-ROW($B$1)),ROWS(F$2:F156))),0)</f>
        <v>0</v>
      </c>
    </row>
    <row r="157" spans="6:6" x14ac:dyDescent="0.3">
      <c r="F157" s="1">
        <f t="array" ref="F157">IFERROR(INDEX($A$2:$A$500,SMALL(IF($B$2:$B$500&gt;0,ROW($B$2:$B$500)-ROW($B$1)),ROWS(F$2:F157))),0)</f>
        <v>0</v>
      </c>
    </row>
    <row r="158" spans="6:6" x14ac:dyDescent="0.3">
      <c r="F158" s="1">
        <f t="array" ref="F158">IFERROR(INDEX($A$2:$A$500,SMALL(IF($B$2:$B$500&gt;0,ROW($B$2:$B$500)-ROW($B$1)),ROWS(F$2:F158))),0)</f>
        <v>0</v>
      </c>
    </row>
    <row r="159" spans="6:6" x14ac:dyDescent="0.3">
      <c r="F159" s="1">
        <f t="array" ref="F159">IFERROR(INDEX($A$2:$A$500,SMALL(IF($B$2:$B$500&gt;0,ROW($B$2:$B$500)-ROW($B$1)),ROWS(F$2:F159))),0)</f>
        <v>0</v>
      </c>
    </row>
    <row r="160" spans="6:6" x14ac:dyDescent="0.3">
      <c r="F160" s="1">
        <f t="array" ref="F160">IFERROR(INDEX($A$2:$A$500,SMALL(IF($B$2:$B$500&gt;0,ROW($B$2:$B$500)-ROW($B$1)),ROWS(F$2:F160))),0)</f>
        <v>0</v>
      </c>
    </row>
    <row r="161" spans="6:6" x14ac:dyDescent="0.3">
      <c r="F161" s="1">
        <f t="array" ref="F161">IFERROR(INDEX($A$2:$A$500,SMALL(IF($B$2:$B$500&gt;0,ROW($B$2:$B$500)-ROW($B$1)),ROWS(F$2:F161))),0)</f>
        <v>0</v>
      </c>
    </row>
    <row r="162" spans="6:6" x14ac:dyDescent="0.3">
      <c r="F162" s="1">
        <f t="array" ref="F162">IFERROR(INDEX($A$2:$A$500,SMALL(IF($B$2:$B$500&gt;0,ROW($B$2:$B$500)-ROW($B$1)),ROWS(F$2:F162))),0)</f>
        <v>0</v>
      </c>
    </row>
    <row r="163" spans="6:6" x14ac:dyDescent="0.3">
      <c r="F163" s="1">
        <f t="array" ref="F163">IFERROR(INDEX($A$2:$A$500,SMALL(IF($B$2:$B$500&gt;0,ROW($B$2:$B$500)-ROW($B$1)),ROWS(F$2:F163))),0)</f>
        <v>0</v>
      </c>
    </row>
    <row r="164" spans="6:6" x14ac:dyDescent="0.3">
      <c r="F164" s="1">
        <f t="array" ref="F164">IFERROR(INDEX($A$2:$A$500,SMALL(IF($B$2:$B$500&gt;0,ROW($B$2:$B$500)-ROW($B$1)),ROWS(F$2:F164))),0)</f>
        <v>0</v>
      </c>
    </row>
    <row r="165" spans="6:6" x14ac:dyDescent="0.3">
      <c r="F165" s="1">
        <f t="array" ref="F165">IFERROR(INDEX($A$2:$A$500,SMALL(IF($B$2:$B$500&gt;0,ROW($B$2:$B$500)-ROW($B$1)),ROWS(F$2:F165))),0)</f>
        <v>0</v>
      </c>
    </row>
    <row r="166" spans="6:6" x14ac:dyDescent="0.3">
      <c r="F166" s="1">
        <f t="array" ref="F166">IFERROR(INDEX($A$2:$A$500,SMALL(IF($B$2:$B$500&gt;0,ROW($B$2:$B$500)-ROW($B$1)),ROWS(F$2:F166))),0)</f>
        <v>0</v>
      </c>
    </row>
    <row r="167" spans="6:6" x14ac:dyDescent="0.3">
      <c r="F167" s="1">
        <f t="array" ref="F167">IFERROR(INDEX($A$2:$A$500,SMALL(IF($B$2:$B$500&gt;0,ROW($B$2:$B$500)-ROW($B$1)),ROWS(F$2:F167))),0)</f>
        <v>0</v>
      </c>
    </row>
    <row r="168" spans="6:6" x14ac:dyDescent="0.3">
      <c r="F168" s="1">
        <f t="array" ref="F168">IFERROR(INDEX($A$2:$A$500,SMALL(IF($B$2:$B$500&gt;0,ROW($B$2:$B$500)-ROW($B$1)),ROWS(F$2:F168))),0)</f>
        <v>0</v>
      </c>
    </row>
    <row r="169" spans="6:6" x14ac:dyDescent="0.3">
      <c r="F169" s="1">
        <f t="array" ref="F169">IFERROR(INDEX($A$2:$A$500,SMALL(IF($B$2:$B$500&gt;0,ROW($B$2:$B$500)-ROW($B$1)),ROWS(F$2:F169))),0)</f>
        <v>0</v>
      </c>
    </row>
    <row r="170" spans="6:6" x14ac:dyDescent="0.3">
      <c r="F170" s="1">
        <f t="array" ref="F170">IFERROR(INDEX($A$2:$A$500,SMALL(IF($B$2:$B$500&gt;0,ROW($B$2:$B$500)-ROW($B$1)),ROWS(F$2:F170))),0)</f>
        <v>0</v>
      </c>
    </row>
    <row r="171" spans="6:6" x14ac:dyDescent="0.3">
      <c r="F171" s="1">
        <f t="array" ref="F171">IFERROR(INDEX($A$2:$A$500,SMALL(IF($B$2:$B$500&gt;0,ROW($B$2:$B$500)-ROW($B$1)),ROWS(F$2:F171))),0)</f>
        <v>0</v>
      </c>
    </row>
    <row r="172" spans="6:6" x14ac:dyDescent="0.3">
      <c r="F172" s="1">
        <f t="array" ref="F172">IFERROR(INDEX($A$2:$A$500,SMALL(IF($B$2:$B$500&gt;0,ROW($B$2:$B$500)-ROW($B$1)),ROWS(F$2:F172))),0)</f>
        <v>0</v>
      </c>
    </row>
    <row r="173" spans="6:6" x14ac:dyDescent="0.3">
      <c r="F173" s="1">
        <f t="array" ref="F173">IFERROR(INDEX($A$2:$A$500,SMALL(IF($B$2:$B$500&gt;0,ROW($B$2:$B$500)-ROW($B$1)),ROWS(F$2:F173))),0)</f>
        <v>0</v>
      </c>
    </row>
    <row r="174" spans="6:6" x14ac:dyDescent="0.3">
      <c r="F174" s="1">
        <f t="array" ref="F174">IFERROR(INDEX($A$2:$A$500,SMALL(IF($B$2:$B$500&gt;0,ROW($B$2:$B$500)-ROW($B$1)),ROWS(F$2:F174))),0)</f>
        <v>0</v>
      </c>
    </row>
    <row r="175" spans="6:6" x14ac:dyDescent="0.3">
      <c r="F175" s="1">
        <f t="array" ref="F175">IFERROR(INDEX($A$2:$A$500,SMALL(IF($B$2:$B$500&gt;0,ROW($B$2:$B$500)-ROW($B$1)),ROWS(F$2:F175))),0)</f>
        <v>0</v>
      </c>
    </row>
    <row r="176" spans="6:6" x14ac:dyDescent="0.3">
      <c r="F176" s="1">
        <f t="array" ref="F176">IFERROR(INDEX($A$2:$A$500,SMALL(IF($B$2:$B$500&gt;0,ROW($B$2:$B$500)-ROW($B$1)),ROWS(F$2:F176))),0)</f>
        <v>0</v>
      </c>
    </row>
    <row r="177" spans="6:6" x14ac:dyDescent="0.3">
      <c r="F177" s="1">
        <f t="array" ref="F177">IFERROR(INDEX($A$2:$A$500,SMALL(IF($B$2:$B$500&gt;0,ROW($B$2:$B$500)-ROW($B$1)),ROWS(F$2:F177))),0)</f>
        <v>0</v>
      </c>
    </row>
    <row r="178" spans="6:6" x14ac:dyDescent="0.3">
      <c r="F178" s="1">
        <f t="array" ref="F178">IFERROR(INDEX($A$2:$A$500,SMALL(IF($B$2:$B$500&gt;0,ROW($B$2:$B$500)-ROW($B$1)),ROWS(F$2:F178))),0)</f>
        <v>0</v>
      </c>
    </row>
    <row r="179" spans="6:6" x14ac:dyDescent="0.3">
      <c r="F179" s="1">
        <f t="array" ref="F179">IFERROR(INDEX($A$2:$A$500,SMALL(IF($B$2:$B$500&gt;0,ROW($B$2:$B$500)-ROW($B$1)),ROWS(F$2:F179))),0)</f>
        <v>0</v>
      </c>
    </row>
    <row r="180" spans="6:6" x14ac:dyDescent="0.3">
      <c r="F180" s="1">
        <f t="array" ref="F180">IFERROR(INDEX($A$2:$A$500,SMALL(IF($B$2:$B$500&gt;0,ROW($B$2:$B$500)-ROW($B$1)),ROWS(F$2:F180))),0)</f>
        <v>0</v>
      </c>
    </row>
    <row r="181" spans="6:6" x14ac:dyDescent="0.3">
      <c r="F181" s="1">
        <f t="array" ref="F181">IFERROR(INDEX($A$2:$A$500,SMALL(IF($B$2:$B$500&gt;0,ROW($B$2:$B$500)-ROW($B$1)),ROWS(F$2:F181))),0)</f>
        <v>0</v>
      </c>
    </row>
    <row r="182" spans="6:6" x14ac:dyDescent="0.3">
      <c r="F182" s="1">
        <f t="array" ref="F182">IFERROR(INDEX($A$2:$A$500,SMALL(IF($B$2:$B$500&gt;0,ROW($B$2:$B$500)-ROW($B$1)),ROWS(F$2:F182))),0)</f>
        <v>0</v>
      </c>
    </row>
    <row r="183" spans="6:6" x14ac:dyDescent="0.3">
      <c r="F183" s="1">
        <f t="array" ref="F183">IFERROR(INDEX($A$2:$A$500,SMALL(IF($B$2:$B$500&gt;0,ROW($B$2:$B$500)-ROW($B$1)),ROWS(F$2:F183))),0)</f>
        <v>0</v>
      </c>
    </row>
    <row r="184" spans="6:6" x14ac:dyDescent="0.3">
      <c r="F184" s="1">
        <f t="array" ref="F184">IFERROR(INDEX($A$2:$A$500,SMALL(IF($B$2:$B$500&gt;0,ROW($B$2:$B$500)-ROW($B$1)),ROWS(F$2:F184))),0)</f>
        <v>0</v>
      </c>
    </row>
    <row r="185" spans="6:6" x14ac:dyDescent="0.3">
      <c r="F185" s="1">
        <f t="array" ref="F185">IFERROR(INDEX($A$2:$A$500,SMALL(IF($B$2:$B$500&gt;0,ROW($B$2:$B$500)-ROW($B$1)),ROWS(F$2:F185))),0)</f>
        <v>0</v>
      </c>
    </row>
    <row r="186" spans="6:6" x14ac:dyDescent="0.3">
      <c r="F186" s="1">
        <f t="array" ref="F186">IFERROR(INDEX($A$2:$A$500,SMALL(IF($B$2:$B$500&gt;0,ROW($B$2:$B$500)-ROW($B$1)),ROWS(F$2:F186))),0)</f>
        <v>0</v>
      </c>
    </row>
    <row r="187" spans="6:6" x14ac:dyDescent="0.3">
      <c r="F187" s="1">
        <f t="array" ref="F187">IFERROR(INDEX($A$2:$A$500,SMALL(IF($B$2:$B$500&gt;0,ROW($B$2:$B$500)-ROW($B$1)),ROWS(F$2:F187))),0)</f>
        <v>0</v>
      </c>
    </row>
    <row r="188" spans="6:6" x14ac:dyDescent="0.3">
      <c r="F188" s="1">
        <f t="array" ref="F188">IFERROR(INDEX($A$2:$A$500,SMALL(IF($B$2:$B$500&gt;0,ROW($B$2:$B$500)-ROW($B$1)),ROWS(F$2:F188))),0)</f>
        <v>0</v>
      </c>
    </row>
    <row r="189" spans="6:6" x14ac:dyDescent="0.3">
      <c r="F189" s="1">
        <f t="array" ref="F189">IFERROR(INDEX($A$2:$A$500,SMALL(IF($B$2:$B$500&gt;0,ROW($B$2:$B$500)-ROW($B$1)),ROWS(F$2:F189))),0)</f>
        <v>0</v>
      </c>
    </row>
    <row r="190" spans="6:6" x14ac:dyDescent="0.3">
      <c r="F190" s="1">
        <f t="array" ref="F190">IFERROR(INDEX($A$2:$A$500,SMALL(IF($B$2:$B$500&gt;0,ROW($B$2:$B$500)-ROW($B$1)),ROWS(F$2:F190))),0)</f>
        <v>0</v>
      </c>
    </row>
    <row r="191" spans="6:6" x14ac:dyDescent="0.3">
      <c r="F191" s="1">
        <f t="array" ref="F191">IFERROR(INDEX($A$2:$A$500,SMALL(IF($B$2:$B$500&gt;0,ROW($B$2:$B$500)-ROW($B$1)),ROWS(F$2:F191))),0)</f>
        <v>0</v>
      </c>
    </row>
    <row r="192" spans="6:6" x14ac:dyDescent="0.3">
      <c r="F192" s="1">
        <f t="array" ref="F192">IFERROR(INDEX($A$2:$A$500,SMALL(IF($B$2:$B$500&gt;0,ROW($B$2:$B$500)-ROW($B$1)),ROWS(F$2:F192))),0)</f>
        <v>0</v>
      </c>
    </row>
    <row r="193" spans="6:6" x14ac:dyDescent="0.3">
      <c r="F193" s="1">
        <f t="array" ref="F193">IFERROR(INDEX($A$2:$A$500,SMALL(IF($B$2:$B$500&gt;0,ROW($B$2:$B$500)-ROW($B$1)),ROWS(F$2:F193))),0)</f>
        <v>0</v>
      </c>
    </row>
    <row r="194" spans="6:6" x14ac:dyDescent="0.3">
      <c r="F194" s="1">
        <f t="array" ref="F194">IFERROR(INDEX($A$2:$A$500,SMALL(IF($B$2:$B$500&gt;0,ROW($B$2:$B$500)-ROW($B$1)),ROWS(F$2:F194))),0)</f>
        <v>0</v>
      </c>
    </row>
    <row r="195" spans="6:6" x14ac:dyDescent="0.3">
      <c r="F195" s="1">
        <f t="array" ref="F195">IFERROR(INDEX($A$2:$A$500,SMALL(IF($B$2:$B$500&gt;0,ROW($B$2:$B$500)-ROW($B$1)),ROWS(F$2:F195))),0)</f>
        <v>0</v>
      </c>
    </row>
    <row r="196" spans="6:6" x14ac:dyDescent="0.3">
      <c r="F196" s="1">
        <f t="array" ref="F196">IFERROR(INDEX($A$2:$A$500,SMALL(IF($B$2:$B$500&gt;0,ROW($B$2:$B$500)-ROW($B$1)),ROWS(F$2:F196))),0)</f>
        <v>0</v>
      </c>
    </row>
    <row r="197" spans="6:6" x14ac:dyDescent="0.3">
      <c r="F197" s="1">
        <f t="array" ref="F197">IFERROR(INDEX($A$2:$A$500,SMALL(IF($B$2:$B$500&gt;0,ROW($B$2:$B$500)-ROW($B$1)),ROWS(F$2:F197))),0)</f>
        <v>0</v>
      </c>
    </row>
    <row r="198" spans="6:6" x14ac:dyDescent="0.3">
      <c r="F198" s="1">
        <f t="array" ref="F198">IFERROR(INDEX($A$2:$A$500,SMALL(IF($B$2:$B$500&gt;0,ROW($B$2:$B$500)-ROW($B$1)),ROWS(F$2:F198))),0)</f>
        <v>0</v>
      </c>
    </row>
    <row r="199" spans="6:6" x14ac:dyDescent="0.3">
      <c r="F199" s="1">
        <f t="array" ref="F199">IFERROR(INDEX($A$2:$A$500,SMALL(IF($B$2:$B$500&gt;0,ROW($B$2:$B$500)-ROW($B$1)),ROWS(F$2:F199))),0)</f>
        <v>0</v>
      </c>
    </row>
    <row r="200" spans="6:6" x14ac:dyDescent="0.3">
      <c r="F200" s="1">
        <f t="array" ref="F200">IFERROR(INDEX($A$2:$A$500,SMALL(IF($B$2:$B$500&gt;0,ROW($B$2:$B$500)-ROW($B$1)),ROWS(F$2:F200))),0)</f>
        <v>0</v>
      </c>
    </row>
    <row r="201" spans="6:6" x14ac:dyDescent="0.3">
      <c r="F201" s="1">
        <f t="array" ref="F201">IFERROR(INDEX($A$2:$A$500,SMALL(IF($B$2:$B$500&gt;0,ROW($B$2:$B$500)-ROW($B$1)),ROWS(F$2:F201))),0)</f>
        <v>0</v>
      </c>
    </row>
    <row r="202" spans="6:6" x14ac:dyDescent="0.3">
      <c r="F202" s="1">
        <f t="array" ref="F202">IFERROR(INDEX($A$2:$A$500,SMALL(IF($B$2:$B$500&gt;0,ROW($B$2:$B$500)-ROW($B$1)),ROWS(F$2:F202))),0)</f>
        <v>0</v>
      </c>
    </row>
    <row r="203" spans="6:6" x14ac:dyDescent="0.3">
      <c r="F203" s="1">
        <f t="array" ref="F203">IFERROR(INDEX($A$2:$A$500,SMALL(IF($B$2:$B$500&gt;0,ROW($B$2:$B$500)-ROW($B$1)),ROWS(F$2:F203))),0)</f>
        <v>0</v>
      </c>
    </row>
    <row r="204" spans="6:6" x14ac:dyDescent="0.3">
      <c r="F204" s="1">
        <f t="array" ref="F204">IFERROR(INDEX($A$2:$A$500,SMALL(IF($B$2:$B$500&gt;0,ROW($B$2:$B$500)-ROW($B$1)),ROWS(F$2:F204))),0)</f>
        <v>0</v>
      </c>
    </row>
    <row r="205" spans="6:6" x14ac:dyDescent="0.3">
      <c r="F205" s="1">
        <f t="array" ref="F205">IFERROR(INDEX($A$2:$A$500,SMALL(IF($B$2:$B$500&gt;0,ROW($B$2:$B$500)-ROW($B$1)),ROWS(F$2:F205))),0)</f>
        <v>0</v>
      </c>
    </row>
    <row r="206" spans="6:6" x14ac:dyDescent="0.3">
      <c r="F206" s="1">
        <f t="array" ref="F206">IFERROR(INDEX($A$2:$A$500,SMALL(IF($B$2:$B$500&gt;0,ROW($B$2:$B$500)-ROW($B$1)),ROWS(F$2:F206))),0)</f>
        <v>0</v>
      </c>
    </row>
    <row r="207" spans="6:6" x14ac:dyDescent="0.3">
      <c r="F207" s="1">
        <f t="array" ref="F207">IFERROR(INDEX($A$2:$A$500,SMALL(IF($B$2:$B$500&gt;0,ROW($B$2:$B$500)-ROW($B$1)),ROWS(F$2:F207))),0)</f>
        <v>0</v>
      </c>
    </row>
    <row r="208" spans="6:6" x14ac:dyDescent="0.3">
      <c r="F208" s="1">
        <f t="array" ref="F208">IFERROR(INDEX($A$2:$A$500,SMALL(IF($B$2:$B$500&gt;0,ROW($B$2:$B$500)-ROW($B$1)),ROWS(F$2:F208))),0)</f>
        <v>0</v>
      </c>
    </row>
    <row r="209" spans="6:6" x14ac:dyDescent="0.3">
      <c r="F209" s="1">
        <f t="array" ref="F209">IFERROR(INDEX($A$2:$A$500,SMALL(IF($B$2:$B$500&gt;0,ROW($B$2:$B$500)-ROW($B$1)),ROWS(F$2:F209))),0)</f>
        <v>0</v>
      </c>
    </row>
    <row r="210" spans="6:6" x14ac:dyDescent="0.3">
      <c r="F210" s="1">
        <f t="array" ref="F210">IFERROR(INDEX($A$2:$A$500,SMALL(IF($B$2:$B$500&gt;0,ROW($B$2:$B$500)-ROW($B$1)),ROWS(F$2:F210))),0)</f>
        <v>0</v>
      </c>
    </row>
    <row r="211" spans="6:6" x14ac:dyDescent="0.3">
      <c r="F211" s="1">
        <f t="array" ref="F211">IFERROR(INDEX($A$2:$A$500,SMALL(IF($B$2:$B$500&gt;0,ROW($B$2:$B$500)-ROW($B$1)),ROWS(F$2:F211))),0)</f>
        <v>0</v>
      </c>
    </row>
    <row r="212" spans="6:6" x14ac:dyDescent="0.3">
      <c r="F212" s="1">
        <f t="array" ref="F212">IFERROR(INDEX($A$2:$A$500,SMALL(IF($B$2:$B$500&gt;0,ROW($B$2:$B$500)-ROW($B$1)),ROWS(F$2:F212))),0)</f>
        <v>0</v>
      </c>
    </row>
    <row r="213" spans="6:6" x14ac:dyDescent="0.3">
      <c r="F213" s="1">
        <f t="array" ref="F213">IFERROR(INDEX($A$2:$A$500,SMALL(IF($B$2:$B$500&gt;0,ROW($B$2:$B$500)-ROW($B$1)),ROWS(F$2:F213))),0)</f>
        <v>0</v>
      </c>
    </row>
    <row r="214" spans="6:6" x14ac:dyDescent="0.3">
      <c r="F214" s="1">
        <f t="array" ref="F214">IFERROR(INDEX($A$2:$A$500,SMALL(IF($B$2:$B$500&gt;0,ROW($B$2:$B$500)-ROW($B$1)),ROWS(F$2:F214))),0)</f>
        <v>0</v>
      </c>
    </row>
    <row r="215" spans="6:6" x14ac:dyDescent="0.3">
      <c r="F215" s="1">
        <f t="array" ref="F215">IFERROR(INDEX($A$2:$A$500,SMALL(IF($B$2:$B$500&gt;0,ROW($B$2:$B$500)-ROW($B$1)),ROWS(F$2:F215))),0)</f>
        <v>0</v>
      </c>
    </row>
    <row r="216" spans="6:6" x14ac:dyDescent="0.3">
      <c r="F216" s="1">
        <f t="array" ref="F216">IFERROR(INDEX($A$2:$A$500,SMALL(IF($B$2:$B$500&gt;0,ROW($B$2:$B$500)-ROW($B$1)),ROWS(F$2:F216))),0)</f>
        <v>0</v>
      </c>
    </row>
    <row r="217" spans="6:6" x14ac:dyDescent="0.3">
      <c r="F217" s="1">
        <f t="array" ref="F217">IFERROR(INDEX($A$2:$A$500,SMALL(IF($B$2:$B$500&gt;0,ROW($B$2:$B$500)-ROW($B$1)),ROWS(F$2:F217))),0)</f>
        <v>0</v>
      </c>
    </row>
    <row r="218" spans="6:6" x14ac:dyDescent="0.3">
      <c r="F218" s="1">
        <f t="array" ref="F218">IFERROR(INDEX($A$2:$A$500,SMALL(IF($B$2:$B$500&gt;0,ROW($B$2:$B$500)-ROW($B$1)),ROWS(F$2:F218))),0)</f>
        <v>0</v>
      </c>
    </row>
    <row r="219" spans="6:6" x14ac:dyDescent="0.3">
      <c r="F219" s="1">
        <f t="array" ref="F219">IFERROR(INDEX($A$2:$A$500,SMALL(IF($B$2:$B$500&gt;0,ROW($B$2:$B$500)-ROW($B$1)),ROWS(F$2:F219))),0)</f>
        <v>0</v>
      </c>
    </row>
    <row r="220" spans="6:6" x14ac:dyDescent="0.3">
      <c r="F220" s="1">
        <f t="array" ref="F220">IFERROR(INDEX($A$2:$A$500,SMALL(IF($B$2:$B$500&gt;0,ROW($B$2:$B$500)-ROW($B$1)),ROWS(F$2:F220))),0)</f>
        <v>0</v>
      </c>
    </row>
    <row r="221" spans="6:6" x14ac:dyDescent="0.3">
      <c r="F221" s="1">
        <f t="array" ref="F221">IFERROR(INDEX($A$2:$A$500,SMALL(IF($B$2:$B$500&gt;0,ROW($B$2:$B$500)-ROW($B$1)),ROWS(F$2:F221))),0)</f>
        <v>0</v>
      </c>
    </row>
    <row r="222" spans="6:6" x14ac:dyDescent="0.3">
      <c r="F222" s="1">
        <f t="array" ref="F222">IFERROR(INDEX($A$2:$A$500,SMALL(IF($B$2:$B$500&gt;0,ROW($B$2:$B$500)-ROW($B$1)),ROWS(F$2:F222))),0)</f>
        <v>0</v>
      </c>
    </row>
    <row r="223" spans="6:6" x14ac:dyDescent="0.3">
      <c r="F223" s="1">
        <f t="array" ref="F223">IFERROR(INDEX($A$2:$A$500,SMALL(IF($B$2:$B$500&gt;0,ROW($B$2:$B$500)-ROW($B$1)),ROWS(F$2:F223))),0)</f>
        <v>0</v>
      </c>
    </row>
    <row r="224" spans="6:6" x14ac:dyDescent="0.3">
      <c r="F224" s="1">
        <f t="array" ref="F224">IFERROR(INDEX($A$2:$A$500,SMALL(IF($B$2:$B$500&gt;0,ROW($B$2:$B$500)-ROW($B$1)),ROWS(F$2:F224))),0)</f>
        <v>0</v>
      </c>
    </row>
    <row r="225" spans="6:6" x14ac:dyDescent="0.3">
      <c r="F225" s="1">
        <f t="array" ref="F225">IFERROR(INDEX($A$2:$A$500,SMALL(IF($B$2:$B$500&gt;0,ROW($B$2:$B$500)-ROW($B$1)),ROWS(F$2:F225))),0)</f>
        <v>0</v>
      </c>
    </row>
    <row r="226" spans="6:6" x14ac:dyDescent="0.3">
      <c r="F226" s="1">
        <f t="array" ref="F226">IFERROR(INDEX($A$2:$A$500,SMALL(IF($B$2:$B$500&gt;0,ROW($B$2:$B$500)-ROW($B$1)),ROWS(F$2:F226))),0)</f>
        <v>0</v>
      </c>
    </row>
    <row r="227" spans="6:6" x14ac:dyDescent="0.3">
      <c r="F227" s="1">
        <f t="array" ref="F227">IFERROR(INDEX($A$2:$A$500,SMALL(IF($B$2:$B$500&gt;0,ROW($B$2:$B$500)-ROW($B$1)),ROWS(F$2:F227))),0)</f>
        <v>0</v>
      </c>
    </row>
    <row r="228" spans="6:6" x14ac:dyDescent="0.3">
      <c r="F228" s="1">
        <f t="array" ref="F228">IFERROR(INDEX($A$2:$A$500,SMALL(IF($B$2:$B$500&gt;0,ROW($B$2:$B$500)-ROW($B$1)),ROWS(F$2:F228))),0)</f>
        <v>0</v>
      </c>
    </row>
    <row r="229" spans="6:6" x14ac:dyDescent="0.3">
      <c r="F229" s="1">
        <f t="array" ref="F229">IFERROR(INDEX($A$2:$A$500,SMALL(IF($B$2:$B$500&gt;0,ROW($B$2:$B$500)-ROW($B$1)),ROWS(F$2:F229))),0)</f>
        <v>0</v>
      </c>
    </row>
    <row r="230" spans="6:6" x14ac:dyDescent="0.3">
      <c r="F230" s="1">
        <f t="array" ref="F230">IFERROR(INDEX($A$2:$A$500,SMALL(IF($B$2:$B$500&gt;0,ROW($B$2:$B$500)-ROW($B$1)),ROWS(F$2:F230))),0)</f>
        <v>0</v>
      </c>
    </row>
    <row r="231" spans="6:6" x14ac:dyDescent="0.3">
      <c r="F231" s="1">
        <f t="array" ref="F231">IFERROR(INDEX($A$2:$A$500,SMALL(IF($B$2:$B$500&gt;0,ROW($B$2:$B$500)-ROW($B$1)),ROWS(F$2:F231))),0)</f>
        <v>0</v>
      </c>
    </row>
    <row r="232" spans="6:6" x14ac:dyDescent="0.3">
      <c r="F232" s="1">
        <f t="array" ref="F232">IFERROR(INDEX($A$2:$A$500,SMALL(IF($B$2:$B$500&gt;0,ROW($B$2:$B$500)-ROW($B$1)),ROWS(F$2:F232))),0)</f>
        <v>0</v>
      </c>
    </row>
    <row r="233" spans="6:6" x14ac:dyDescent="0.3">
      <c r="F233" s="1">
        <f t="array" ref="F233">IFERROR(INDEX($A$2:$A$500,SMALL(IF($B$2:$B$500&gt;0,ROW($B$2:$B$500)-ROW($B$1)),ROWS(F$2:F233))),0)</f>
        <v>0</v>
      </c>
    </row>
    <row r="234" spans="6:6" x14ac:dyDescent="0.3">
      <c r="F234" s="1">
        <f t="array" ref="F234">IFERROR(INDEX($A$2:$A$500,SMALL(IF($B$2:$B$500&gt;0,ROW($B$2:$B$500)-ROW($B$1)),ROWS(F$2:F234))),0)</f>
        <v>0</v>
      </c>
    </row>
    <row r="235" spans="6:6" x14ac:dyDescent="0.3">
      <c r="F235" s="1">
        <f t="array" ref="F235">IFERROR(INDEX($A$2:$A$500,SMALL(IF($B$2:$B$500&gt;0,ROW($B$2:$B$500)-ROW($B$1)),ROWS(F$2:F235))),0)</f>
        <v>0</v>
      </c>
    </row>
    <row r="236" spans="6:6" x14ac:dyDescent="0.3">
      <c r="F236" s="1">
        <f t="array" ref="F236">IFERROR(INDEX($A$2:$A$500,SMALL(IF($B$2:$B$500&gt;0,ROW($B$2:$B$500)-ROW($B$1)),ROWS(F$2:F236))),0)</f>
        <v>0</v>
      </c>
    </row>
    <row r="237" spans="6:6" x14ac:dyDescent="0.3">
      <c r="F237" s="1">
        <f t="array" ref="F237">IFERROR(INDEX($A$2:$A$500,SMALL(IF($B$2:$B$500&gt;0,ROW($B$2:$B$500)-ROW($B$1)),ROWS(F$2:F237))),0)</f>
        <v>0</v>
      </c>
    </row>
    <row r="238" spans="6:6" x14ac:dyDescent="0.3">
      <c r="F238" s="1">
        <f t="array" ref="F238">IFERROR(INDEX($A$2:$A$500,SMALL(IF($B$2:$B$500&gt;0,ROW($B$2:$B$500)-ROW($B$1)),ROWS(F$2:F238))),0)</f>
        <v>0</v>
      </c>
    </row>
    <row r="239" spans="6:6" x14ac:dyDescent="0.3">
      <c r="F239" s="1">
        <f t="array" ref="F239">IFERROR(INDEX($A$2:$A$500,SMALL(IF($B$2:$B$500&gt;0,ROW($B$2:$B$500)-ROW($B$1)),ROWS(F$2:F239))),0)</f>
        <v>0</v>
      </c>
    </row>
    <row r="240" spans="6:6" x14ac:dyDescent="0.3">
      <c r="F240" s="1">
        <f t="array" ref="F240">IFERROR(INDEX($A$2:$A$500,SMALL(IF($B$2:$B$500&gt;0,ROW($B$2:$B$500)-ROW($B$1)),ROWS(F$2:F240))),0)</f>
        <v>0</v>
      </c>
    </row>
    <row r="241" spans="6:6" x14ac:dyDescent="0.3">
      <c r="F241" s="1">
        <f t="array" ref="F241">IFERROR(INDEX($A$2:$A$500,SMALL(IF($B$2:$B$500&gt;0,ROW($B$2:$B$500)-ROW($B$1)),ROWS(F$2:F241))),0)</f>
        <v>0</v>
      </c>
    </row>
    <row r="242" spans="6:6" x14ac:dyDescent="0.3">
      <c r="F242" s="1">
        <f t="array" ref="F242">IFERROR(INDEX($A$2:$A$500,SMALL(IF($B$2:$B$500&gt;0,ROW($B$2:$B$500)-ROW($B$1)),ROWS(F$2:F242))),0)</f>
        <v>0</v>
      </c>
    </row>
    <row r="243" spans="6:6" x14ac:dyDescent="0.3">
      <c r="F243" s="1">
        <f t="array" ref="F243">IFERROR(INDEX($A$2:$A$500,SMALL(IF($B$2:$B$500&gt;0,ROW($B$2:$B$500)-ROW($B$1)),ROWS(F$2:F243))),0)</f>
        <v>0</v>
      </c>
    </row>
    <row r="244" spans="6:6" x14ac:dyDescent="0.3">
      <c r="F244" s="1">
        <f t="array" ref="F244">IFERROR(INDEX($A$2:$A$500,SMALL(IF($B$2:$B$500&gt;0,ROW($B$2:$B$500)-ROW($B$1)),ROWS(F$2:F244))),0)</f>
        <v>0</v>
      </c>
    </row>
    <row r="245" spans="6:6" x14ac:dyDescent="0.3">
      <c r="F245" s="1">
        <f t="array" ref="F245">IFERROR(INDEX($A$2:$A$500,SMALL(IF($B$2:$B$500&gt;0,ROW($B$2:$B$500)-ROW($B$1)),ROWS(F$2:F245))),0)</f>
        <v>0</v>
      </c>
    </row>
    <row r="246" spans="6:6" x14ac:dyDescent="0.3">
      <c r="F246" s="1">
        <f t="array" ref="F246">IFERROR(INDEX($A$2:$A$500,SMALL(IF($B$2:$B$500&gt;0,ROW($B$2:$B$500)-ROW($B$1)),ROWS(F$2:F246))),0)</f>
        <v>0</v>
      </c>
    </row>
    <row r="247" spans="6:6" x14ac:dyDescent="0.3">
      <c r="F247" s="1">
        <f t="array" ref="F247">IFERROR(INDEX($A$2:$A$500,SMALL(IF($B$2:$B$500&gt;0,ROW($B$2:$B$500)-ROW($B$1)),ROWS(F$2:F247))),0)</f>
        <v>0</v>
      </c>
    </row>
    <row r="248" spans="6:6" x14ac:dyDescent="0.3">
      <c r="F248" s="1">
        <f t="array" ref="F248">IFERROR(INDEX($A$2:$A$500,SMALL(IF($B$2:$B$500&gt;0,ROW($B$2:$B$500)-ROW($B$1)),ROWS(F$2:F248))),0)</f>
        <v>0</v>
      </c>
    </row>
    <row r="249" spans="6:6" x14ac:dyDescent="0.3">
      <c r="F249" s="1">
        <f t="array" ref="F249">IFERROR(INDEX($A$2:$A$500,SMALL(IF($B$2:$B$500&gt;0,ROW($B$2:$B$500)-ROW($B$1)),ROWS(F$2:F249))),0)</f>
        <v>0</v>
      </c>
    </row>
    <row r="250" spans="6:6" x14ac:dyDescent="0.3">
      <c r="F250" s="1">
        <f t="array" ref="F250">IFERROR(INDEX($A$2:$A$500,SMALL(IF($B$2:$B$500&gt;0,ROW($B$2:$B$500)-ROW($B$1)),ROWS(F$2:F250))),0)</f>
        <v>0</v>
      </c>
    </row>
    <row r="251" spans="6:6" x14ac:dyDescent="0.3">
      <c r="F251" s="1">
        <f t="array" ref="F251">IFERROR(INDEX($A$2:$A$500,SMALL(IF($B$2:$B$500&gt;0,ROW($B$2:$B$500)-ROW($B$1)),ROWS(F$2:F251))),0)</f>
        <v>0</v>
      </c>
    </row>
    <row r="252" spans="6:6" x14ac:dyDescent="0.3">
      <c r="F252" s="1">
        <f t="array" ref="F252">IFERROR(INDEX($A$2:$A$500,SMALL(IF($B$2:$B$500&gt;0,ROW($B$2:$B$500)-ROW($B$1)),ROWS(F$2:F252))),0)</f>
        <v>0</v>
      </c>
    </row>
    <row r="253" spans="6:6" x14ac:dyDescent="0.3">
      <c r="F253" s="1">
        <f t="array" ref="F253">IFERROR(INDEX($A$2:$A$500,SMALL(IF($B$2:$B$500&gt;0,ROW($B$2:$B$500)-ROW($B$1)),ROWS(F$2:F253))),0)</f>
        <v>0</v>
      </c>
    </row>
    <row r="254" spans="6:6" x14ac:dyDescent="0.3">
      <c r="F254" s="1">
        <f t="array" ref="F254">IFERROR(INDEX($A$2:$A$500,SMALL(IF($B$2:$B$500&gt;0,ROW($B$2:$B$500)-ROW($B$1)),ROWS(F$2:F254))),0)</f>
        <v>0</v>
      </c>
    </row>
    <row r="255" spans="6:6" x14ac:dyDescent="0.3">
      <c r="F255" s="1">
        <f t="array" ref="F255">IFERROR(INDEX($A$2:$A$500,SMALL(IF($B$2:$B$500&gt;0,ROW($B$2:$B$500)-ROW($B$1)),ROWS(F$2:F255))),0)</f>
        <v>0</v>
      </c>
    </row>
    <row r="256" spans="6:6" x14ac:dyDescent="0.3">
      <c r="F256" s="1">
        <f t="array" ref="F256">IFERROR(INDEX($A$2:$A$500,SMALL(IF($B$2:$B$500&gt;0,ROW($B$2:$B$500)-ROW($B$1)),ROWS(F$2:F256))),0)</f>
        <v>0</v>
      </c>
    </row>
    <row r="257" spans="6:6" x14ac:dyDescent="0.3">
      <c r="F257" s="1">
        <f t="array" ref="F257">IFERROR(INDEX($A$2:$A$500,SMALL(IF($B$2:$B$500&gt;0,ROW($B$2:$B$500)-ROW($B$1)),ROWS(F$2:F257))),0)</f>
        <v>0</v>
      </c>
    </row>
    <row r="258" spans="6:6" x14ac:dyDescent="0.3">
      <c r="F258" s="1">
        <f t="array" ref="F258">IFERROR(INDEX($A$2:$A$500,SMALL(IF($B$2:$B$500&gt;0,ROW($B$2:$B$500)-ROW($B$1)),ROWS(F$2:F258))),0)</f>
        <v>0</v>
      </c>
    </row>
    <row r="259" spans="6:6" x14ac:dyDescent="0.3">
      <c r="F259" s="1">
        <f t="array" ref="F259">IFERROR(INDEX($A$2:$A$500,SMALL(IF($B$2:$B$500&gt;0,ROW($B$2:$B$500)-ROW($B$1)),ROWS(F$2:F259))),0)</f>
        <v>0</v>
      </c>
    </row>
    <row r="260" spans="6:6" x14ac:dyDescent="0.3">
      <c r="F260" s="1">
        <f t="array" ref="F260">IFERROR(INDEX($A$2:$A$500,SMALL(IF($B$2:$B$500&gt;0,ROW($B$2:$B$500)-ROW($B$1)),ROWS(F$2:F260))),0)</f>
        <v>0</v>
      </c>
    </row>
    <row r="261" spans="6:6" x14ac:dyDescent="0.3">
      <c r="F261" s="1">
        <f t="array" ref="F261">IFERROR(INDEX($A$2:$A$500,SMALL(IF($B$2:$B$500&gt;0,ROW($B$2:$B$500)-ROW($B$1)),ROWS(F$2:F261))),0)</f>
        <v>0</v>
      </c>
    </row>
    <row r="262" spans="6:6" x14ac:dyDescent="0.3">
      <c r="F262" s="1">
        <f t="array" ref="F262">IFERROR(INDEX($A$2:$A$500,SMALL(IF($B$2:$B$500&gt;0,ROW($B$2:$B$500)-ROW($B$1)),ROWS(F$2:F262))),0)</f>
        <v>0</v>
      </c>
    </row>
    <row r="263" spans="6:6" x14ac:dyDescent="0.3">
      <c r="F263" s="1">
        <f t="array" ref="F263">IFERROR(INDEX($A$2:$A$500,SMALL(IF($B$2:$B$500&gt;0,ROW($B$2:$B$500)-ROW($B$1)),ROWS(F$2:F263))),0)</f>
        <v>0</v>
      </c>
    </row>
    <row r="264" spans="6:6" x14ac:dyDescent="0.3">
      <c r="F264" s="1">
        <f t="array" ref="F264">IFERROR(INDEX($A$2:$A$500,SMALL(IF($B$2:$B$500&gt;0,ROW($B$2:$B$500)-ROW($B$1)),ROWS(F$2:F264))),0)</f>
        <v>0</v>
      </c>
    </row>
    <row r="265" spans="6:6" x14ac:dyDescent="0.3">
      <c r="F265" s="1">
        <f t="array" ref="F265">IFERROR(INDEX($A$2:$A$500,SMALL(IF($B$2:$B$500&gt;0,ROW($B$2:$B$500)-ROW($B$1)),ROWS(F$2:F265))),0)</f>
        <v>0</v>
      </c>
    </row>
    <row r="266" spans="6:6" x14ac:dyDescent="0.3">
      <c r="F266" s="1">
        <f t="array" ref="F266">IFERROR(INDEX($A$2:$A$500,SMALL(IF($B$2:$B$500&gt;0,ROW($B$2:$B$500)-ROW($B$1)),ROWS(F$2:F266))),0)</f>
        <v>0</v>
      </c>
    </row>
    <row r="267" spans="6:6" x14ac:dyDescent="0.3">
      <c r="F267" s="1">
        <f t="array" ref="F267">IFERROR(INDEX($A$2:$A$500,SMALL(IF($B$2:$B$500&gt;0,ROW($B$2:$B$500)-ROW($B$1)),ROWS(F$2:F267))),0)</f>
        <v>0</v>
      </c>
    </row>
    <row r="268" spans="6:6" x14ac:dyDescent="0.3">
      <c r="F268" s="1">
        <f t="array" ref="F268">IFERROR(INDEX($A$2:$A$500,SMALL(IF($B$2:$B$500&gt;0,ROW($B$2:$B$500)-ROW($B$1)),ROWS(F$2:F268))),0)</f>
        <v>0</v>
      </c>
    </row>
    <row r="269" spans="6:6" x14ac:dyDescent="0.3">
      <c r="F269" s="1">
        <f t="array" ref="F269">IFERROR(INDEX($A$2:$A$500,SMALL(IF($B$2:$B$500&gt;0,ROW($B$2:$B$500)-ROW($B$1)),ROWS(F$2:F269))),0)</f>
        <v>0</v>
      </c>
    </row>
    <row r="270" spans="6:6" x14ac:dyDescent="0.3">
      <c r="F270" s="1">
        <f t="array" ref="F270">IFERROR(INDEX($A$2:$A$500,SMALL(IF($B$2:$B$500&gt;0,ROW($B$2:$B$500)-ROW($B$1)),ROWS(F$2:F270))),0)</f>
        <v>0</v>
      </c>
    </row>
    <row r="271" spans="6:6" x14ac:dyDescent="0.3">
      <c r="F271" s="1">
        <f t="array" ref="F271">IFERROR(INDEX($A$2:$A$500,SMALL(IF($B$2:$B$500&gt;0,ROW($B$2:$B$500)-ROW($B$1)),ROWS(F$2:F271))),0)</f>
        <v>0</v>
      </c>
    </row>
    <row r="272" spans="6:6" x14ac:dyDescent="0.3">
      <c r="F272" s="1">
        <f t="array" ref="F272">IFERROR(INDEX($A$2:$A$500,SMALL(IF($B$2:$B$500&gt;0,ROW($B$2:$B$500)-ROW($B$1)),ROWS(F$2:F272))),0)</f>
        <v>0</v>
      </c>
    </row>
    <row r="273" spans="6:6" x14ac:dyDescent="0.3">
      <c r="F273" s="1">
        <f t="array" ref="F273">IFERROR(INDEX($A$2:$A$500,SMALL(IF($B$2:$B$500&gt;0,ROW($B$2:$B$500)-ROW($B$1)),ROWS(F$2:F273))),0)</f>
        <v>0</v>
      </c>
    </row>
    <row r="274" spans="6:6" x14ac:dyDescent="0.3">
      <c r="F274" s="1">
        <f t="array" ref="F274">IFERROR(INDEX($A$2:$A$500,SMALL(IF($B$2:$B$500&gt;0,ROW($B$2:$B$500)-ROW($B$1)),ROWS(F$2:F274))),0)</f>
        <v>0</v>
      </c>
    </row>
    <row r="275" spans="6:6" x14ac:dyDescent="0.3">
      <c r="F275" s="1">
        <f t="array" ref="F275">IFERROR(INDEX($A$2:$A$500,SMALL(IF($B$2:$B$500&gt;0,ROW($B$2:$B$500)-ROW($B$1)),ROWS(F$2:F275))),0)</f>
        <v>0</v>
      </c>
    </row>
    <row r="276" spans="6:6" x14ac:dyDescent="0.3">
      <c r="F276" s="1">
        <f t="array" ref="F276">IFERROR(INDEX($A$2:$A$500,SMALL(IF($B$2:$B$500&gt;0,ROW($B$2:$B$500)-ROW($B$1)),ROWS(F$2:F276))),0)</f>
        <v>0</v>
      </c>
    </row>
    <row r="277" spans="6:6" x14ac:dyDescent="0.3">
      <c r="F277" s="1">
        <f t="array" ref="F277">IFERROR(INDEX($A$2:$A$500,SMALL(IF($B$2:$B$500&gt;0,ROW($B$2:$B$500)-ROW($B$1)),ROWS(F$2:F277))),0)</f>
        <v>0</v>
      </c>
    </row>
    <row r="278" spans="6:6" x14ac:dyDescent="0.3">
      <c r="F278" s="1">
        <f t="array" ref="F278">IFERROR(INDEX($A$2:$A$500,SMALL(IF($B$2:$B$500&gt;0,ROW($B$2:$B$500)-ROW($B$1)),ROWS(F$2:F278))),0)</f>
        <v>0</v>
      </c>
    </row>
    <row r="279" spans="6:6" x14ac:dyDescent="0.3">
      <c r="F279" s="1">
        <f t="array" ref="F279">IFERROR(INDEX($A$2:$A$500,SMALL(IF($B$2:$B$500&gt;0,ROW($B$2:$B$500)-ROW($B$1)),ROWS(F$2:F279))),0)</f>
        <v>0</v>
      </c>
    </row>
    <row r="280" spans="6:6" x14ac:dyDescent="0.3">
      <c r="F280" s="1">
        <f t="array" ref="F280">IFERROR(INDEX($A$2:$A$500,SMALL(IF($B$2:$B$500&gt;0,ROW($B$2:$B$500)-ROW($B$1)),ROWS(F$2:F280))),0)</f>
        <v>0</v>
      </c>
    </row>
    <row r="281" spans="6:6" x14ac:dyDescent="0.3">
      <c r="F281" s="1">
        <f t="array" ref="F281">IFERROR(INDEX($A$2:$A$500,SMALL(IF($B$2:$B$500&gt;0,ROW($B$2:$B$500)-ROW($B$1)),ROWS(F$2:F281))),0)</f>
        <v>0</v>
      </c>
    </row>
    <row r="282" spans="6:6" x14ac:dyDescent="0.3">
      <c r="F282" s="1">
        <f t="array" ref="F282">IFERROR(INDEX($A$2:$A$500,SMALL(IF($B$2:$B$500&gt;0,ROW($B$2:$B$500)-ROW($B$1)),ROWS(F$2:F282))),0)</f>
        <v>0</v>
      </c>
    </row>
    <row r="283" spans="6:6" x14ac:dyDescent="0.3">
      <c r="F283" s="1">
        <f t="array" ref="F283">IFERROR(INDEX($A$2:$A$500,SMALL(IF($B$2:$B$500&gt;0,ROW($B$2:$B$500)-ROW($B$1)),ROWS(F$2:F283))),0)</f>
        <v>0</v>
      </c>
    </row>
    <row r="284" spans="6:6" x14ac:dyDescent="0.3">
      <c r="F284" s="1">
        <f t="array" ref="F284">IFERROR(INDEX($A$2:$A$500,SMALL(IF($B$2:$B$500&gt;0,ROW($B$2:$B$500)-ROW($B$1)),ROWS(F$2:F284))),0)</f>
        <v>0</v>
      </c>
    </row>
    <row r="285" spans="6:6" x14ac:dyDescent="0.3">
      <c r="F285" s="1">
        <f t="array" ref="F285">IFERROR(INDEX($A$2:$A$500,SMALL(IF($B$2:$B$500&gt;0,ROW($B$2:$B$500)-ROW($B$1)),ROWS(F$2:F285))),0)</f>
        <v>0</v>
      </c>
    </row>
    <row r="286" spans="6:6" x14ac:dyDescent="0.3">
      <c r="F286" s="1">
        <f t="array" ref="F286">IFERROR(INDEX($A$2:$A$500,SMALL(IF($B$2:$B$500&gt;0,ROW($B$2:$B$500)-ROW($B$1)),ROWS(F$2:F286))),0)</f>
        <v>0</v>
      </c>
    </row>
    <row r="287" spans="6:6" x14ac:dyDescent="0.3">
      <c r="F287" s="1">
        <f t="array" ref="F287">IFERROR(INDEX($A$2:$A$500,SMALL(IF($B$2:$B$500&gt;0,ROW($B$2:$B$500)-ROW($B$1)),ROWS(F$2:F287))),0)</f>
        <v>0</v>
      </c>
    </row>
    <row r="288" spans="6:6" x14ac:dyDescent="0.3">
      <c r="F288" s="1">
        <f t="array" ref="F288">IFERROR(INDEX($A$2:$A$500,SMALL(IF($B$2:$B$500&gt;0,ROW($B$2:$B$500)-ROW($B$1)),ROWS(F$2:F288))),0)</f>
        <v>0</v>
      </c>
    </row>
    <row r="289" spans="6:6" x14ac:dyDescent="0.3">
      <c r="F289" s="1">
        <f t="array" ref="F289">IFERROR(INDEX($A$2:$A$500,SMALL(IF($B$2:$B$500&gt;0,ROW($B$2:$B$500)-ROW($B$1)),ROWS(F$2:F289))),0)</f>
        <v>0</v>
      </c>
    </row>
    <row r="290" spans="6:6" x14ac:dyDescent="0.3">
      <c r="F290" s="1">
        <f t="array" ref="F290">IFERROR(INDEX($A$2:$A$500,SMALL(IF($B$2:$B$500&gt;0,ROW($B$2:$B$500)-ROW($B$1)),ROWS(F$2:F290))),0)</f>
        <v>0</v>
      </c>
    </row>
    <row r="291" spans="6:6" x14ac:dyDescent="0.3">
      <c r="F291" s="1">
        <f t="array" ref="F291">IFERROR(INDEX($A$2:$A$500,SMALL(IF($B$2:$B$500&gt;0,ROW($B$2:$B$500)-ROW($B$1)),ROWS(F$2:F291))),0)</f>
        <v>0</v>
      </c>
    </row>
    <row r="292" spans="6:6" x14ac:dyDescent="0.3">
      <c r="F292" s="1">
        <f t="array" ref="F292">IFERROR(INDEX($A$2:$A$500,SMALL(IF($B$2:$B$500&gt;0,ROW($B$2:$B$500)-ROW($B$1)),ROWS(F$2:F292))),0)</f>
        <v>0</v>
      </c>
    </row>
    <row r="293" spans="6:6" x14ac:dyDescent="0.3">
      <c r="F293" s="1">
        <f t="array" ref="F293">IFERROR(INDEX($A$2:$A$500,SMALL(IF($B$2:$B$500&gt;0,ROW($B$2:$B$500)-ROW($B$1)),ROWS(F$2:F293))),0)</f>
        <v>0</v>
      </c>
    </row>
    <row r="294" spans="6:6" x14ac:dyDescent="0.3">
      <c r="F294" s="1">
        <f t="array" ref="F294">IFERROR(INDEX($A$2:$A$500,SMALL(IF($B$2:$B$500&gt;0,ROW($B$2:$B$500)-ROW($B$1)),ROWS(F$2:F294))),0)</f>
        <v>0</v>
      </c>
    </row>
    <row r="295" spans="6:6" x14ac:dyDescent="0.3">
      <c r="F295" s="1">
        <f t="array" ref="F295">IFERROR(INDEX($A$2:$A$500,SMALL(IF($B$2:$B$500&gt;0,ROW($B$2:$B$500)-ROW($B$1)),ROWS(F$2:F295))),0)</f>
        <v>0</v>
      </c>
    </row>
    <row r="296" spans="6:6" x14ac:dyDescent="0.3">
      <c r="F296" s="1">
        <f t="array" ref="F296">IFERROR(INDEX($A$2:$A$500,SMALL(IF($B$2:$B$500&gt;0,ROW($B$2:$B$500)-ROW($B$1)),ROWS(F$2:F296))),0)</f>
        <v>0</v>
      </c>
    </row>
    <row r="297" spans="6:6" x14ac:dyDescent="0.3">
      <c r="F297" s="1">
        <f t="array" ref="F297">IFERROR(INDEX($A$2:$A$500,SMALL(IF($B$2:$B$500&gt;0,ROW($B$2:$B$500)-ROW($B$1)),ROWS(F$2:F297))),0)</f>
        <v>0</v>
      </c>
    </row>
    <row r="298" spans="6:6" x14ac:dyDescent="0.3">
      <c r="F298" s="1">
        <f t="array" ref="F298">IFERROR(INDEX($A$2:$A$500,SMALL(IF($B$2:$B$500&gt;0,ROW($B$2:$B$500)-ROW($B$1)),ROWS(F$2:F298))),0)</f>
        <v>0</v>
      </c>
    </row>
    <row r="299" spans="6:6" x14ac:dyDescent="0.3">
      <c r="F299" s="1">
        <f t="array" ref="F299">IFERROR(INDEX($A$2:$A$500,SMALL(IF($B$2:$B$500&gt;0,ROW($B$2:$B$500)-ROW($B$1)),ROWS(F$2:F299))),0)</f>
        <v>0</v>
      </c>
    </row>
    <row r="300" spans="6:6" x14ac:dyDescent="0.3">
      <c r="F300" s="1">
        <f t="array" ref="F300">IFERROR(INDEX($A$2:$A$500,SMALL(IF($B$2:$B$500&gt;0,ROW($B$2:$B$500)-ROW($B$1)),ROWS(F$2:F300))),0)</f>
        <v>0</v>
      </c>
    </row>
    <row r="301" spans="6:6" x14ac:dyDescent="0.3">
      <c r="F301" s="1">
        <f t="array" ref="F301">IFERROR(INDEX($A$2:$A$500,SMALL(IF($B$2:$B$500&gt;0,ROW($B$2:$B$500)-ROW($B$1)),ROWS(F$2:F301))),0)</f>
        <v>0</v>
      </c>
    </row>
    <row r="302" spans="6:6" x14ac:dyDescent="0.3">
      <c r="F302" s="1">
        <f t="array" ref="F302">IFERROR(INDEX($A$2:$A$500,SMALL(IF($B$2:$B$500&gt;0,ROW($B$2:$B$500)-ROW($B$1)),ROWS(F$2:F302))),0)</f>
        <v>0</v>
      </c>
    </row>
    <row r="303" spans="6:6" x14ac:dyDescent="0.3">
      <c r="F303" s="1">
        <f t="array" ref="F303">IFERROR(INDEX($A$2:$A$500,SMALL(IF($B$2:$B$500&gt;0,ROW($B$2:$B$500)-ROW($B$1)),ROWS(F$2:F303))),0)</f>
        <v>0</v>
      </c>
    </row>
    <row r="304" spans="6:6" x14ac:dyDescent="0.3">
      <c r="F304" s="1">
        <f t="array" ref="F304">IFERROR(INDEX($A$2:$A$500,SMALL(IF($B$2:$B$500&gt;0,ROW($B$2:$B$500)-ROW($B$1)),ROWS(F$2:F304))),0)</f>
        <v>0</v>
      </c>
    </row>
    <row r="305" spans="6:6" x14ac:dyDescent="0.3">
      <c r="F305" s="1">
        <f t="array" ref="F305">IFERROR(INDEX($A$2:$A$500,SMALL(IF($B$2:$B$500&gt;0,ROW($B$2:$B$500)-ROW($B$1)),ROWS(F$2:F305))),0)</f>
        <v>0</v>
      </c>
    </row>
    <row r="306" spans="6:6" x14ac:dyDescent="0.3">
      <c r="F306" s="1">
        <f t="array" ref="F306">IFERROR(INDEX($A$2:$A$500,SMALL(IF($B$2:$B$500&gt;0,ROW($B$2:$B$500)-ROW($B$1)),ROWS(F$2:F306))),0)</f>
        <v>0</v>
      </c>
    </row>
    <row r="307" spans="6:6" x14ac:dyDescent="0.3">
      <c r="F307" s="1">
        <f t="array" ref="F307">IFERROR(INDEX($A$2:$A$500,SMALL(IF($B$2:$B$500&gt;0,ROW($B$2:$B$500)-ROW($B$1)),ROWS(F$2:F307))),0)</f>
        <v>0</v>
      </c>
    </row>
    <row r="308" spans="6:6" x14ac:dyDescent="0.3">
      <c r="F308" s="1">
        <f t="array" ref="F308">IFERROR(INDEX($A$2:$A$500,SMALL(IF($B$2:$B$500&gt;0,ROW($B$2:$B$500)-ROW($B$1)),ROWS(F$2:F308))),0)</f>
        <v>0</v>
      </c>
    </row>
    <row r="309" spans="6:6" x14ac:dyDescent="0.3">
      <c r="F309" s="1">
        <f t="array" ref="F309">IFERROR(INDEX($A$2:$A$500,SMALL(IF($B$2:$B$500&gt;0,ROW($B$2:$B$500)-ROW($B$1)),ROWS(F$2:F309))),0)</f>
        <v>0</v>
      </c>
    </row>
    <row r="310" spans="6:6" x14ac:dyDescent="0.3">
      <c r="F310" s="1">
        <f t="array" ref="F310">IFERROR(INDEX($A$2:$A$500,SMALL(IF($B$2:$B$500&gt;0,ROW($B$2:$B$500)-ROW($B$1)),ROWS(F$2:F310))),0)</f>
        <v>0</v>
      </c>
    </row>
    <row r="311" spans="6:6" x14ac:dyDescent="0.3">
      <c r="F311" s="1">
        <f t="array" ref="F311">IFERROR(INDEX($A$2:$A$500,SMALL(IF($B$2:$B$500&gt;0,ROW($B$2:$B$500)-ROW($B$1)),ROWS(F$2:F311))),0)</f>
        <v>0</v>
      </c>
    </row>
    <row r="312" spans="6:6" x14ac:dyDescent="0.3">
      <c r="F312" s="1">
        <f t="array" ref="F312">IFERROR(INDEX($A$2:$A$500,SMALL(IF($B$2:$B$500&gt;0,ROW($B$2:$B$500)-ROW($B$1)),ROWS(F$2:F312))),0)</f>
        <v>0</v>
      </c>
    </row>
    <row r="313" spans="6:6" x14ac:dyDescent="0.3">
      <c r="F313" s="1">
        <f t="array" ref="F313">IFERROR(INDEX($A$2:$A$500,SMALL(IF($B$2:$B$500&gt;0,ROW($B$2:$B$500)-ROW($B$1)),ROWS(F$2:F313))),0)</f>
        <v>0</v>
      </c>
    </row>
    <row r="314" spans="6:6" x14ac:dyDescent="0.3">
      <c r="F314" s="1">
        <f t="array" ref="F314">IFERROR(INDEX($A$2:$A$500,SMALL(IF($B$2:$B$500&gt;0,ROW($B$2:$B$500)-ROW($B$1)),ROWS(F$2:F314))),0)</f>
        <v>0</v>
      </c>
    </row>
    <row r="315" spans="6:6" x14ac:dyDescent="0.3">
      <c r="F315" s="1">
        <f t="array" ref="F315">IFERROR(INDEX($A$2:$A$500,SMALL(IF($B$2:$B$500&gt;0,ROW($B$2:$B$500)-ROW($B$1)),ROWS(F$2:F315))),0)</f>
        <v>0</v>
      </c>
    </row>
    <row r="316" spans="6:6" x14ac:dyDescent="0.3">
      <c r="F316" s="1">
        <f t="array" ref="F316">IFERROR(INDEX($A$2:$A$500,SMALL(IF($B$2:$B$500&gt;0,ROW($B$2:$B$500)-ROW($B$1)),ROWS(F$2:F316))),0)</f>
        <v>0</v>
      </c>
    </row>
    <row r="317" spans="6:6" x14ac:dyDescent="0.3">
      <c r="F317" s="1">
        <f t="array" ref="F317">IFERROR(INDEX($A$2:$A$500,SMALL(IF($B$2:$B$500&gt;0,ROW($B$2:$B$500)-ROW($B$1)),ROWS(F$2:F317))),0)</f>
        <v>0</v>
      </c>
    </row>
    <row r="318" spans="6:6" x14ac:dyDescent="0.3">
      <c r="F318" s="1">
        <f t="array" ref="F318">IFERROR(INDEX($A$2:$A$500,SMALL(IF($B$2:$B$500&gt;0,ROW($B$2:$B$500)-ROW($B$1)),ROWS(F$2:F318))),0)</f>
        <v>0</v>
      </c>
    </row>
    <row r="319" spans="6:6" x14ac:dyDescent="0.3">
      <c r="F319" s="1">
        <f t="array" ref="F319">IFERROR(INDEX($A$2:$A$500,SMALL(IF($B$2:$B$500&gt;0,ROW($B$2:$B$500)-ROW($B$1)),ROWS(F$2:F319))),0)</f>
        <v>0</v>
      </c>
    </row>
    <row r="320" spans="6:6" x14ac:dyDescent="0.3">
      <c r="F320" s="1">
        <f t="array" ref="F320">IFERROR(INDEX($A$2:$A$500,SMALL(IF($B$2:$B$500&gt;0,ROW($B$2:$B$500)-ROW($B$1)),ROWS(F$2:F320))),0)</f>
        <v>0</v>
      </c>
    </row>
    <row r="321" spans="6:6" x14ac:dyDescent="0.3">
      <c r="F321" s="1">
        <f t="array" ref="F321">IFERROR(INDEX($A$2:$A$500,SMALL(IF($B$2:$B$500&gt;0,ROW($B$2:$B$500)-ROW($B$1)),ROWS(F$2:F321))),0)</f>
        <v>0</v>
      </c>
    </row>
    <row r="322" spans="6:6" x14ac:dyDescent="0.3">
      <c r="F322" s="1">
        <f t="array" ref="F322">IFERROR(INDEX($A$2:$A$500,SMALL(IF($B$2:$B$500&gt;0,ROW($B$2:$B$500)-ROW($B$1)),ROWS(F$2:F322))),0)</f>
        <v>0</v>
      </c>
    </row>
    <row r="323" spans="6:6" x14ac:dyDescent="0.3">
      <c r="F323" s="1">
        <f t="array" ref="F323">IFERROR(INDEX($A$2:$A$500,SMALL(IF($B$2:$B$500&gt;0,ROW($B$2:$B$500)-ROW($B$1)),ROWS(F$2:F323))),0)</f>
        <v>0</v>
      </c>
    </row>
    <row r="324" spans="6:6" x14ac:dyDescent="0.3">
      <c r="F324" s="1">
        <f t="array" ref="F324">IFERROR(INDEX($A$2:$A$500,SMALL(IF($B$2:$B$500&gt;0,ROW($B$2:$B$500)-ROW($B$1)),ROWS(F$2:F324))),0)</f>
        <v>0</v>
      </c>
    </row>
    <row r="325" spans="6:6" x14ac:dyDescent="0.3">
      <c r="F325" s="1">
        <f t="array" ref="F325">IFERROR(INDEX($A$2:$A$500,SMALL(IF($B$2:$B$500&gt;0,ROW($B$2:$B$500)-ROW($B$1)),ROWS(F$2:F325))),0)</f>
        <v>0</v>
      </c>
    </row>
    <row r="326" spans="6:6" x14ac:dyDescent="0.3">
      <c r="F326" s="1">
        <f t="array" ref="F326">IFERROR(INDEX($A$2:$A$500,SMALL(IF($B$2:$B$500&gt;0,ROW($B$2:$B$500)-ROW($B$1)),ROWS(F$2:F326))),0)</f>
        <v>0</v>
      </c>
    </row>
    <row r="327" spans="6:6" x14ac:dyDescent="0.3">
      <c r="F327" s="1">
        <f t="array" ref="F327">IFERROR(INDEX($A$2:$A$500,SMALL(IF($B$2:$B$500&gt;0,ROW($B$2:$B$500)-ROW($B$1)),ROWS(F$2:F327))),0)</f>
        <v>0</v>
      </c>
    </row>
    <row r="328" spans="6:6" x14ac:dyDescent="0.3">
      <c r="F328" s="1">
        <f t="array" ref="F328">IFERROR(INDEX($A$2:$A$500,SMALL(IF($B$2:$B$500&gt;0,ROW($B$2:$B$500)-ROW($B$1)),ROWS(F$2:F328))),0)</f>
        <v>0</v>
      </c>
    </row>
    <row r="329" spans="6:6" x14ac:dyDescent="0.3">
      <c r="F329" s="1">
        <f t="array" ref="F329">IFERROR(INDEX($A$2:$A$500,SMALL(IF($B$2:$B$500&gt;0,ROW($B$2:$B$500)-ROW($B$1)),ROWS(F$2:F329))),0)</f>
        <v>0</v>
      </c>
    </row>
    <row r="330" spans="6:6" x14ac:dyDescent="0.3">
      <c r="F330" s="1">
        <f t="array" ref="F330">IFERROR(INDEX($A$2:$A$500,SMALL(IF($B$2:$B$500&gt;0,ROW($B$2:$B$500)-ROW($B$1)),ROWS(F$2:F330))),0)</f>
        <v>0</v>
      </c>
    </row>
    <row r="331" spans="6:6" x14ac:dyDescent="0.3">
      <c r="F331" s="1">
        <f t="array" ref="F331">IFERROR(INDEX($A$2:$A$500,SMALL(IF($B$2:$B$500&gt;0,ROW($B$2:$B$500)-ROW($B$1)),ROWS(F$2:F331))),0)</f>
        <v>0</v>
      </c>
    </row>
    <row r="332" spans="6:6" x14ac:dyDescent="0.3">
      <c r="F332" s="1">
        <f t="array" ref="F332">IFERROR(INDEX($A$2:$A$500,SMALL(IF($B$2:$B$500&gt;0,ROW($B$2:$B$500)-ROW($B$1)),ROWS(F$2:F332))),0)</f>
        <v>0</v>
      </c>
    </row>
    <row r="333" spans="6:6" x14ac:dyDescent="0.3">
      <c r="F333" s="1">
        <f t="array" ref="F333">IFERROR(INDEX($A$2:$A$500,SMALL(IF($B$2:$B$500&gt;0,ROW($B$2:$B$500)-ROW($B$1)),ROWS(F$2:F333))),0)</f>
        <v>0</v>
      </c>
    </row>
    <row r="334" spans="6:6" x14ac:dyDescent="0.3">
      <c r="F334" s="1">
        <f t="array" ref="F334">IFERROR(INDEX($A$2:$A$500,SMALL(IF($B$2:$B$500&gt;0,ROW($B$2:$B$500)-ROW($B$1)),ROWS(F$2:F334))),0)</f>
        <v>0</v>
      </c>
    </row>
    <row r="335" spans="6:6" x14ac:dyDescent="0.3">
      <c r="F335" s="1">
        <f t="array" ref="F335">IFERROR(INDEX($A$2:$A$500,SMALL(IF($B$2:$B$500&gt;0,ROW($B$2:$B$500)-ROW($B$1)),ROWS(F$2:F335))),0)</f>
        <v>0</v>
      </c>
    </row>
    <row r="336" spans="6:6" x14ac:dyDescent="0.3">
      <c r="F336" s="1">
        <f t="array" ref="F336">IFERROR(INDEX($A$2:$A$500,SMALL(IF($B$2:$B$500&gt;0,ROW($B$2:$B$500)-ROW($B$1)),ROWS(F$2:F336))),0)</f>
        <v>0</v>
      </c>
    </row>
    <row r="337" spans="6:6" x14ac:dyDescent="0.3">
      <c r="F337" s="1">
        <f t="array" ref="F337">IFERROR(INDEX($A$2:$A$500,SMALL(IF($B$2:$B$500&gt;0,ROW($B$2:$B$500)-ROW($B$1)),ROWS(F$2:F337))),0)</f>
        <v>0</v>
      </c>
    </row>
    <row r="338" spans="6:6" x14ac:dyDescent="0.3">
      <c r="F338" s="1">
        <f t="array" ref="F338">IFERROR(INDEX($A$2:$A$500,SMALL(IF($B$2:$B$500&gt;0,ROW($B$2:$B$500)-ROW($B$1)),ROWS(F$2:F338))),0)</f>
        <v>0</v>
      </c>
    </row>
    <row r="339" spans="6:6" x14ac:dyDescent="0.3">
      <c r="F339" s="1">
        <f t="array" ref="F339">IFERROR(INDEX($A$2:$A$500,SMALL(IF($B$2:$B$500&gt;0,ROW($B$2:$B$500)-ROW($B$1)),ROWS(F$2:F339))),0)</f>
        <v>0</v>
      </c>
    </row>
    <row r="340" spans="6:6" x14ac:dyDescent="0.3">
      <c r="F340" s="1">
        <f t="array" ref="F340">IFERROR(INDEX($A$2:$A$500,SMALL(IF($B$2:$B$500&gt;0,ROW($B$2:$B$500)-ROW($B$1)),ROWS(F$2:F340))),0)</f>
        <v>0</v>
      </c>
    </row>
    <row r="341" spans="6:6" x14ac:dyDescent="0.3">
      <c r="F341" s="1">
        <f t="array" ref="F341">IFERROR(INDEX($A$2:$A$500,SMALL(IF($B$2:$B$500&gt;0,ROW($B$2:$B$500)-ROW($B$1)),ROWS(F$2:F341))),0)</f>
        <v>0</v>
      </c>
    </row>
    <row r="342" spans="6:6" x14ac:dyDescent="0.3">
      <c r="F342" s="1">
        <f t="array" ref="F342">IFERROR(INDEX($A$2:$A$500,SMALL(IF($B$2:$B$500&gt;0,ROW($B$2:$B$500)-ROW($B$1)),ROWS(F$2:F342))),0)</f>
        <v>0</v>
      </c>
    </row>
    <row r="343" spans="6:6" x14ac:dyDescent="0.3">
      <c r="F343" s="1">
        <f t="array" ref="F343">IFERROR(INDEX($A$2:$A$500,SMALL(IF($B$2:$B$500&gt;0,ROW($B$2:$B$500)-ROW($B$1)),ROWS(F$2:F343))),0)</f>
        <v>0</v>
      </c>
    </row>
    <row r="344" spans="6:6" x14ac:dyDescent="0.3">
      <c r="F344" s="1">
        <f t="array" ref="F344">IFERROR(INDEX($A$2:$A$500,SMALL(IF($B$2:$B$500&gt;0,ROW($B$2:$B$500)-ROW($B$1)),ROWS(F$2:F344))),0)</f>
        <v>0</v>
      </c>
    </row>
    <row r="345" spans="6:6" x14ac:dyDescent="0.3">
      <c r="F345" s="1">
        <f t="array" ref="F345">IFERROR(INDEX($A$2:$A$500,SMALL(IF($B$2:$B$500&gt;0,ROW($B$2:$B$500)-ROW($B$1)),ROWS(F$2:F345))),0)</f>
        <v>0</v>
      </c>
    </row>
    <row r="346" spans="6:6" x14ac:dyDescent="0.3">
      <c r="F346" s="1">
        <f t="array" ref="F346">IFERROR(INDEX($A$2:$A$500,SMALL(IF($B$2:$B$500&gt;0,ROW($B$2:$B$500)-ROW($B$1)),ROWS(F$2:F346))),0)</f>
        <v>0</v>
      </c>
    </row>
    <row r="347" spans="6:6" x14ac:dyDescent="0.3">
      <c r="F347" s="1">
        <f t="array" ref="F347">IFERROR(INDEX($A$2:$A$500,SMALL(IF($B$2:$B$500&gt;0,ROW($B$2:$B$500)-ROW($B$1)),ROWS(F$2:F347))),0)</f>
        <v>0</v>
      </c>
    </row>
    <row r="348" spans="6:6" x14ac:dyDescent="0.3">
      <c r="F348" s="1">
        <f t="array" ref="F348">IFERROR(INDEX($A$2:$A$500,SMALL(IF($B$2:$B$500&gt;0,ROW($B$2:$B$500)-ROW($B$1)),ROWS(F$2:F348))),0)</f>
        <v>0</v>
      </c>
    </row>
    <row r="349" spans="6:6" x14ac:dyDescent="0.3">
      <c r="F349" s="1">
        <f t="array" ref="F349">IFERROR(INDEX($A$2:$A$500,SMALL(IF($B$2:$B$500&gt;0,ROW($B$2:$B$500)-ROW($B$1)),ROWS(F$2:F349))),0)</f>
        <v>0</v>
      </c>
    </row>
    <row r="350" spans="6:6" x14ac:dyDescent="0.3">
      <c r="F350" s="1">
        <f t="array" ref="F350">IFERROR(INDEX($A$2:$A$500,SMALL(IF($B$2:$B$500&gt;0,ROW($B$2:$B$500)-ROW($B$1)),ROWS(F$2:F350))),0)</f>
        <v>0</v>
      </c>
    </row>
    <row r="351" spans="6:6" x14ac:dyDescent="0.3">
      <c r="F351" s="1">
        <f t="array" ref="F351">IFERROR(INDEX($A$2:$A$500,SMALL(IF($B$2:$B$500&gt;0,ROW($B$2:$B$500)-ROW($B$1)),ROWS(F$2:F351))),0)</f>
        <v>0</v>
      </c>
    </row>
    <row r="352" spans="6:6" x14ac:dyDescent="0.3">
      <c r="F352" s="1">
        <f t="array" ref="F352">IFERROR(INDEX($A$2:$A$500,SMALL(IF($B$2:$B$500&gt;0,ROW($B$2:$B$500)-ROW($B$1)),ROWS(F$2:F352))),0)</f>
        <v>0</v>
      </c>
    </row>
    <row r="353" spans="6:6" x14ac:dyDescent="0.3">
      <c r="F353" s="1">
        <f t="array" ref="F353">IFERROR(INDEX($A$2:$A$500,SMALL(IF($B$2:$B$500&gt;0,ROW($B$2:$B$500)-ROW($B$1)),ROWS(F$2:F353))),0)</f>
        <v>0</v>
      </c>
    </row>
    <row r="354" spans="6:6" x14ac:dyDescent="0.3">
      <c r="F354" s="1">
        <f t="array" ref="F354">IFERROR(INDEX($A$2:$A$500,SMALL(IF($B$2:$B$500&gt;0,ROW($B$2:$B$500)-ROW($B$1)),ROWS(F$2:F354))),0)</f>
        <v>0</v>
      </c>
    </row>
    <row r="355" spans="6:6" x14ac:dyDescent="0.3">
      <c r="F355" s="1">
        <f t="array" ref="F355">IFERROR(INDEX($A$2:$A$500,SMALL(IF($B$2:$B$500&gt;0,ROW($B$2:$B$500)-ROW($B$1)),ROWS(F$2:F355))),0)</f>
        <v>0</v>
      </c>
    </row>
    <row r="356" spans="6:6" x14ac:dyDescent="0.3">
      <c r="F356" s="1">
        <f t="array" ref="F356">IFERROR(INDEX($A$2:$A$500,SMALL(IF($B$2:$B$500&gt;0,ROW($B$2:$B$500)-ROW($B$1)),ROWS(F$2:F356))),0)</f>
        <v>0</v>
      </c>
    </row>
    <row r="357" spans="6:6" x14ac:dyDescent="0.3">
      <c r="F357" s="1">
        <f t="array" ref="F357">IFERROR(INDEX($A$2:$A$500,SMALL(IF($B$2:$B$500&gt;0,ROW($B$2:$B$500)-ROW($B$1)),ROWS(F$2:F357))),0)</f>
        <v>0</v>
      </c>
    </row>
    <row r="358" spans="6:6" x14ac:dyDescent="0.3">
      <c r="F358" s="1">
        <f t="array" ref="F358">IFERROR(INDEX($A$2:$A$500,SMALL(IF($B$2:$B$500&gt;0,ROW($B$2:$B$500)-ROW($B$1)),ROWS(F$2:F358))),0)</f>
        <v>0</v>
      </c>
    </row>
    <row r="359" spans="6:6" x14ac:dyDescent="0.3">
      <c r="F359" s="1">
        <f t="array" ref="F359">IFERROR(INDEX($A$2:$A$500,SMALL(IF($B$2:$B$500&gt;0,ROW($B$2:$B$500)-ROW($B$1)),ROWS(F$2:F359))),0)</f>
        <v>0</v>
      </c>
    </row>
    <row r="360" spans="6:6" x14ac:dyDescent="0.3">
      <c r="F360" s="1">
        <f t="array" ref="F360">IFERROR(INDEX($A$2:$A$500,SMALL(IF($B$2:$B$500&gt;0,ROW($B$2:$B$500)-ROW($B$1)),ROWS(F$2:F360))),0)</f>
        <v>0</v>
      </c>
    </row>
    <row r="361" spans="6:6" x14ac:dyDescent="0.3">
      <c r="F361" s="1">
        <f t="array" ref="F361">IFERROR(INDEX($A$2:$A$500,SMALL(IF($B$2:$B$500&gt;0,ROW($B$2:$B$500)-ROW($B$1)),ROWS(F$2:F361))),0)</f>
        <v>0</v>
      </c>
    </row>
    <row r="362" spans="6:6" x14ac:dyDescent="0.3">
      <c r="F362" s="1">
        <f t="array" ref="F362">IFERROR(INDEX($A$2:$A$500,SMALL(IF($B$2:$B$500&gt;0,ROW($B$2:$B$500)-ROW($B$1)),ROWS(F$2:F362))),0)</f>
        <v>0</v>
      </c>
    </row>
    <row r="363" spans="6:6" x14ac:dyDescent="0.3">
      <c r="F363" s="1">
        <f t="array" ref="F363">IFERROR(INDEX($A$2:$A$500,SMALL(IF($B$2:$B$500&gt;0,ROW($B$2:$B$500)-ROW($B$1)),ROWS(F$2:F363))),0)</f>
        <v>0</v>
      </c>
    </row>
    <row r="364" spans="6:6" x14ac:dyDescent="0.3">
      <c r="F364" s="1">
        <f t="array" ref="F364">IFERROR(INDEX($A$2:$A$500,SMALL(IF($B$2:$B$500&gt;0,ROW($B$2:$B$500)-ROW($B$1)),ROWS(F$2:F364))),0)</f>
        <v>0</v>
      </c>
    </row>
    <row r="365" spans="6:6" x14ac:dyDescent="0.3">
      <c r="F365" s="1">
        <f t="array" ref="F365">IFERROR(INDEX($A$2:$A$500,SMALL(IF($B$2:$B$500&gt;0,ROW($B$2:$B$500)-ROW($B$1)),ROWS(F$2:F365))),0)</f>
        <v>0</v>
      </c>
    </row>
    <row r="366" spans="6:6" x14ac:dyDescent="0.3">
      <c r="F366" s="1">
        <f t="array" ref="F366">IFERROR(INDEX($A$2:$A$500,SMALL(IF($B$2:$B$500&gt;0,ROW($B$2:$B$500)-ROW($B$1)),ROWS(F$2:F366))),0)</f>
        <v>0</v>
      </c>
    </row>
    <row r="367" spans="6:6" x14ac:dyDescent="0.3">
      <c r="F367" s="1">
        <f t="array" ref="F367">IFERROR(INDEX($A$2:$A$500,SMALL(IF($B$2:$B$500&gt;0,ROW($B$2:$B$500)-ROW($B$1)),ROWS(F$2:F367))),0)</f>
        <v>0</v>
      </c>
    </row>
    <row r="368" spans="6:6" x14ac:dyDescent="0.3">
      <c r="F368" s="1">
        <f t="array" ref="F368">IFERROR(INDEX($A$2:$A$500,SMALL(IF($B$2:$B$500&gt;0,ROW($B$2:$B$500)-ROW($B$1)),ROWS(F$2:F368))),0)</f>
        <v>0</v>
      </c>
    </row>
    <row r="369" spans="6:6" x14ac:dyDescent="0.3">
      <c r="F369" s="1">
        <f t="array" ref="F369">IFERROR(INDEX($A$2:$A$500,SMALL(IF($B$2:$B$500&gt;0,ROW($B$2:$B$500)-ROW($B$1)),ROWS(F$2:F369))),0)</f>
        <v>0</v>
      </c>
    </row>
    <row r="370" spans="6:6" x14ac:dyDescent="0.3">
      <c r="F370" s="1">
        <f t="array" ref="F370">IFERROR(INDEX($A$2:$A$500,SMALL(IF($B$2:$B$500&gt;0,ROW($B$2:$B$500)-ROW($B$1)),ROWS(F$2:F370))),0)</f>
        <v>0</v>
      </c>
    </row>
    <row r="371" spans="6:6" x14ac:dyDescent="0.3">
      <c r="F371" s="1">
        <f t="array" ref="F371">IFERROR(INDEX($A$2:$A$500,SMALL(IF($B$2:$B$500&gt;0,ROW($B$2:$B$500)-ROW($B$1)),ROWS(F$2:F371))),0)</f>
        <v>0</v>
      </c>
    </row>
    <row r="372" spans="6:6" x14ac:dyDescent="0.3">
      <c r="F372" s="1">
        <f t="array" ref="F372">IFERROR(INDEX($A$2:$A$500,SMALL(IF($B$2:$B$500&gt;0,ROW($B$2:$B$500)-ROW($B$1)),ROWS(F$2:F372))),0)</f>
        <v>0</v>
      </c>
    </row>
    <row r="373" spans="6:6" x14ac:dyDescent="0.3">
      <c r="F373" s="1">
        <f t="array" ref="F373">IFERROR(INDEX($A$2:$A$500,SMALL(IF($B$2:$B$500&gt;0,ROW($B$2:$B$500)-ROW($B$1)),ROWS(F$2:F373))),0)</f>
        <v>0</v>
      </c>
    </row>
    <row r="374" spans="6:6" x14ac:dyDescent="0.3">
      <c r="F374" s="1">
        <f t="array" ref="F374">IFERROR(INDEX($A$2:$A$500,SMALL(IF($B$2:$B$500&gt;0,ROW($B$2:$B$500)-ROW($B$1)),ROWS(F$2:F374))),0)</f>
        <v>0</v>
      </c>
    </row>
    <row r="375" spans="6:6" x14ac:dyDescent="0.3">
      <c r="F375" s="1">
        <f t="array" ref="F375">IFERROR(INDEX($A$2:$A$500,SMALL(IF($B$2:$B$500&gt;0,ROW($B$2:$B$500)-ROW($B$1)),ROWS(F$2:F375))),0)</f>
        <v>0</v>
      </c>
    </row>
    <row r="376" spans="6:6" x14ac:dyDescent="0.3">
      <c r="F376" s="1">
        <f t="array" ref="F376">IFERROR(INDEX($A$2:$A$500,SMALL(IF($B$2:$B$500&gt;0,ROW($B$2:$B$500)-ROW($B$1)),ROWS(F$2:F376))),0)</f>
        <v>0</v>
      </c>
    </row>
    <row r="377" spans="6:6" x14ac:dyDescent="0.3">
      <c r="F377" s="1">
        <f t="array" ref="F377">IFERROR(INDEX($A$2:$A$500,SMALL(IF($B$2:$B$500&gt;0,ROW($B$2:$B$500)-ROW($B$1)),ROWS(F$2:F377))),0)</f>
        <v>0</v>
      </c>
    </row>
    <row r="378" spans="6:6" x14ac:dyDescent="0.3">
      <c r="F378" s="1">
        <f t="array" ref="F378">IFERROR(INDEX($A$2:$A$500,SMALL(IF($B$2:$B$500&gt;0,ROW($B$2:$B$500)-ROW($B$1)),ROWS(F$2:F378))),0)</f>
        <v>0</v>
      </c>
    </row>
    <row r="379" spans="6:6" x14ac:dyDescent="0.3">
      <c r="F379" s="1">
        <f t="array" ref="F379">IFERROR(INDEX($A$2:$A$500,SMALL(IF($B$2:$B$500&gt;0,ROW($B$2:$B$500)-ROW($B$1)),ROWS(F$2:F379))),0)</f>
        <v>0</v>
      </c>
    </row>
    <row r="380" spans="6:6" x14ac:dyDescent="0.3">
      <c r="F380" s="1">
        <f t="array" ref="F380">IFERROR(INDEX($A$2:$A$500,SMALL(IF($B$2:$B$500&gt;0,ROW($B$2:$B$500)-ROW($B$1)),ROWS(F$2:F380))),0)</f>
        <v>0</v>
      </c>
    </row>
    <row r="381" spans="6:6" x14ac:dyDescent="0.3">
      <c r="F381" s="1">
        <f t="array" ref="F381">IFERROR(INDEX($A$2:$A$500,SMALL(IF($B$2:$B$500&gt;0,ROW($B$2:$B$500)-ROW($B$1)),ROWS(F$2:F381))),0)</f>
        <v>0</v>
      </c>
    </row>
    <row r="382" spans="6:6" x14ac:dyDescent="0.3">
      <c r="F382" s="1">
        <f t="array" ref="F382">IFERROR(INDEX($A$2:$A$500,SMALL(IF($B$2:$B$500&gt;0,ROW($B$2:$B$500)-ROW($B$1)),ROWS(F$2:F382))),0)</f>
        <v>0</v>
      </c>
    </row>
    <row r="383" spans="6:6" x14ac:dyDescent="0.3">
      <c r="F383" s="1">
        <f t="array" ref="F383">IFERROR(INDEX($A$2:$A$500,SMALL(IF($B$2:$B$500&gt;0,ROW($B$2:$B$500)-ROW($B$1)),ROWS(F$2:F383))),0)</f>
        <v>0</v>
      </c>
    </row>
    <row r="384" spans="6:6" x14ac:dyDescent="0.3">
      <c r="F384" s="1">
        <f t="array" ref="F384">IFERROR(INDEX($A$2:$A$500,SMALL(IF($B$2:$B$500&gt;0,ROW($B$2:$B$500)-ROW($B$1)),ROWS(F$2:F384))),0)</f>
        <v>0</v>
      </c>
    </row>
    <row r="385" spans="6:6" x14ac:dyDescent="0.3">
      <c r="F385" s="1">
        <f t="array" ref="F385">IFERROR(INDEX($A$2:$A$500,SMALL(IF($B$2:$B$500&gt;0,ROW($B$2:$B$500)-ROW($B$1)),ROWS(F$2:F385))),0)</f>
        <v>0</v>
      </c>
    </row>
    <row r="386" spans="6:6" x14ac:dyDescent="0.3">
      <c r="F386" s="1">
        <f t="array" ref="F386">IFERROR(INDEX($A$2:$A$500,SMALL(IF($B$2:$B$500&gt;0,ROW($B$2:$B$500)-ROW($B$1)),ROWS(F$2:F386))),0)</f>
        <v>0</v>
      </c>
    </row>
    <row r="387" spans="6:6" x14ac:dyDescent="0.3">
      <c r="F387" s="1">
        <f t="array" ref="F387">IFERROR(INDEX($A$2:$A$500,SMALL(IF($B$2:$B$500&gt;0,ROW($B$2:$B$500)-ROW($B$1)),ROWS(F$2:F387))),0)</f>
        <v>0</v>
      </c>
    </row>
    <row r="388" spans="6:6" x14ac:dyDescent="0.3">
      <c r="F388" s="1">
        <f t="array" ref="F388">IFERROR(INDEX($A$2:$A$500,SMALL(IF($B$2:$B$500&gt;0,ROW($B$2:$B$500)-ROW($B$1)),ROWS(F$2:F388))),0)</f>
        <v>0</v>
      </c>
    </row>
    <row r="389" spans="6:6" x14ac:dyDescent="0.3">
      <c r="F389" s="1">
        <f t="array" ref="F389">IFERROR(INDEX($A$2:$A$500,SMALL(IF($B$2:$B$500&gt;0,ROW($B$2:$B$500)-ROW($B$1)),ROWS(F$2:F389))),0)</f>
        <v>0</v>
      </c>
    </row>
    <row r="390" spans="6:6" x14ac:dyDescent="0.3">
      <c r="F390" s="1">
        <f t="array" ref="F390">IFERROR(INDEX($A$2:$A$500,SMALL(IF($B$2:$B$500&gt;0,ROW($B$2:$B$500)-ROW($B$1)),ROWS(F$2:F390))),0)</f>
        <v>0</v>
      </c>
    </row>
    <row r="391" spans="6:6" x14ac:dyDescent="0.3">
      <c r="F391" s="1">
        <f t="array" ref="F391">IFERROR(INDEX($A$2:$A$500,SMALL(IF($B$2:$B$500&gt;0,ROW($B$2:$B$500)-ROW($B$1)),ROWS(F$2:F391))),0)</f>
        <v>0</v>
      </c>
    </row>
    <row r="392" spans="6:6" x14ac:dyDescent="0.3">
      <c r="F392" s="1">
        <f t="array" ref="F392">IFERROR(INDEX($A$2:$A$500,SMALL(IF($B$2:$B$500&gt;0,ROW($B$2:$B$500)-ROW($B$1)),ROWS(F$2:F392))),0)</f>
        <v>0</v>
      </c>
    </row>
    <row r="393" spans="6:6" x14ac:dyDescent="0.3">
      <c r="F393" s="1">
        <f t="array" ref="F393">IFERROR(INDEX($A$2:$A$500,SMALL(IF($B$2:$B$500&gt;0,ROW($B$2:$B$500)-ROW($B$1)),ROWS(F$2:F393))),0)</f>
        <v>0</v>
      </c>
    </row>
    <row r="394" spans="6:6" x14ac:dyDescent="0.3">
      <c r="F394" s="1">
        <f t="array" ref="F394">IFERROR(INDEX($A$2:$A$500,SMALL(IF($B$2:$B$500&gt;0,ROW($B$2:$B$500)-ROW($B$1)),ROWS(F$2:F394))),0)</f>
        <v>0</v>
      </c>
    </row>
    <row r="395" spans="6:6" x14ac:dyDescent="0.3">
      <c r="F395" s="1">
        <f t="array" ref="F395">IFERROR(INDEX($A$2:$A$500,SMALL(IF($B$2:$B$500&gt;0,ROW($B$2:$B$500)-ROW($B$1)),ROWS(F$2:F395))),0)</f>
        <v>0</v>
      </c>
    </row>
    <row r="396" spans="6:6" x14ac:dyDescent="0.3">
      <c r="F396" s="1">
        <f t="array" ref="F396">IFERROR(INDEX($A$2:$A$500,SMALL(IF($B$2:$B$500&gt;0,ROW($B$2:$B$500)-ROW($B$1)),ROWS(F$2:F396))),0)</f>
        <v>0</v>
      </c>
    </row>
    <row r="397" spans="6:6" x14ac:dyDescent="0.3">
      <c r="F397" s="1">
        <f t="array" ref="F397">IFERROR(INDEX($A$2:$A$500,SMALL(IF($B$2:$B$500&gt;0,ROW($B$2:$B$500)-ROW($B$1)),ROWS(F$2:F397))),0)</f>
        <v>0</v>
      </c>
    </row>
    <row r="398" spans="6:6" x14ac:dyDescent="0.3">
      <c r="F398" s="1">
        <f t="array" ref="F398">IFERROR(INDEX($A$2:$A$500,SMALL(IF($B$2:$B$500&gt;0,ROW($B$2:$B$500)-ROW($B$1)),ROWS(F$2:F398))),0)</f>
        <v>0</v>
      </c>
    </row>
    <row r="399" spans="6:6" x14ac:dyDescent="0.3">
      <c r="F399" s="1">
        <f t="array" ref="F399">IFERROR(INDEX($A$2:$A$500,SMALL(IF($B$2:$B$500&gt;0,ROW($B$2:$B$500)-ROW($B$1)),ROWS(F$2:F399))),0)</f>
        <v>0</v>
      </c>
    </row>
    <row r="400" spans="6:6" x14ac:dyDescent="0.3">
      <c r="F400" s="1">
        <f t="array" ref="F400">IFERROR(INDEX($A$2:$A$500,SMALL(IF($B$2:$B$500&gt;0,ROW($B$2:$B$500)-ROW($B$1)),ROWS(F$2:F400))),0)</f>
        <v>0</v>
      </c>
    </row>
    <row r="401" spans="6:6" x14ac:dyDescent="0.3">
      <c r="F401" s="1">
        <f t="array" ref="F401">IFERROR(INDEX($A$2:$A$500,SMALL(IF($B$2:$B$500&gt;0,ROW($B$2:$B$500)-ROW($B$1)),ROWS(F$2:F401))),0)</f>
        <v>0</v>
      </c>
    </row>
    <row r="402" spans="6:6" x14ac:dyDescent="0.3">
      <c r="F402" s="1">
        <f t="array" ref="F402">IFERROR(INDEX($A$2:$A$500,SMALL(IF($B$2:$B$500&gt;0,ROW($B$2:$B$500)-ROW($B$1)),ROWS(F$2:F402))),0)</f>
        <v>0</v>
      </c>
    </row>
    <row r="403" spans="6:6" x14ac:dyDescent="0.3">
      <c r="F403" s="1">
        <f t="array" ref="F403">IFERROR(INDEX($A$2:$A$500,SMALL(IF($B$2:$B$500&gt;0,ROW($B$2:$B$500)-ROW($B$1)),ROWS(F$2:F403))),0)</f>
        <v>0</v>
      </c>
    </row>
    <row r="404" spans="6:6" x14ac:dyDescent="0.3">
      <c r="F404" s="1">
        <f t="array" ref="F404">IFERROR(INDEX($A$2:$A$500,SMALL(IF($B$2:$B$500&gt;0,ROW($B$2:$B$500)-ROW($B$1)),ROWS(F$2:F404))),0)</f>
        <v>0</v>
      </c>
    </row>
    <row r="405" spans="6:6" x14ac:dyDescent="0.3">
      <c r="F405" s="1">
        <f t="array" ref="F405">IFERROR(INDEX($A$2:$A$500,SMALL(IF($B$2:$B$500&gt;0,ROW($B$2:$B$500)-ROW($B$1)),ROWS(F$2:F405))),0)</f>
        <v>0</v>
      </c>
    </row>
    <row r="406" spans="6:6" x14ac:dyDescent="0.3">
      <c r="F406" s="1">
        <f t="array" ref="F406">IFERROR(INDEX($A$2:$A$500,SMALL(IF($B$2:$B$500&gt;0,ROW($B$2:$B$500)-ROW($B$1)),ROWS(F$2:F406))),0)</f>
        <v>0</v>
      </c>
    </row>
    <row r="407" spans="6:6" x14ac:dyDescent="0.3">
      <c r="F407" s="1">
        <f t="array" ref="F407">IFERROR(INDEX($A$2:$A$500,SMALL(IF($B$2:$B$500&gt;0,ROW($B$2:$B$500)-ROW($B$1)),ROWS(F$2:F407))),0)</f>
        <v>0</v>
      </c>
    </row>
    <row r="408" spans="6:6" x14ac:dyDescent="0.3">
      <c r="F408" s="1">
        <f t="array" ref="F408">IFERROR(INDEX($A$2:$A$500,SMALL(IF($B$2:$B$500&gt;0,ROW($B$2:$B$500)-ROW($B$1)),ROWS(F$2:F408))),0)</f>
        <v>0</v>
      </c>
    </row>
    <row r="409" spans="6:6" x14ac:dyDescent="0.3">
      <c r="F409" s="1">
        <f t="array" ref="F409">IFERROR(INDEX($A$2:$A$500,SMALL(IF($B$2:$B$500&gt;0,ROW($B$2:$B$500)-ROW($B$1)),ROWS(F$2:F409))),0)</f>
        <v>0</v>
      </c>
    </row>
    <row r="410" spans="6:6" x14ac:dyDescent="0.3">
      <c r="F410" s="1">
        <f t="array" ref="F410">IFERROR(INDEX($A$2:$A$500,SMALL(IF($B$2:$B$500&gt;0,ROW($B$2:$B$500)-ROW($B$1)),ROWS(F$2:F410))),0)</f>
        <v>0</v>
      </c>
    </row>
    <row r="411" spans="6:6" x14ac:dyDescent="0.3">
      <c r="F411" s="1">
        <f t="array" ref="F411">IFERROR(INDEX($A$2:$A$500,SMALL(IF($B$2:$B$500&gt;0,ROW($B$2:$B$500)-ROW($B$1)),ROWS(F$2:F411))),0)</f>
        <v>0</v>
      </c>
    </row>
    <row r="412" spans="6:6" x14ac:dyDescent="0.3">
      <c r="F412" s="1">
        <f t="array" ref="F412">IFERROR(INDEX($A$2:$A$500,SMALL(IF($B$2:$B$500&gt;0,ROW($B$2:$B$500)-ROW($B$1)),ROWS(F$2:F412))),0)</f>
        <v>0</v>
      </c>
    </row>
    <row r="413" spans="6:6" x14ac:dyDescent="0.3">
      <c r="F413" s="1">
        <f t="array" ref="F413">IFERROR(INDEX($A$2:$A$500,SMALL(IF($B$2:$B$500&gt;0,ROW($B$2:$B$500)-ROW($B$1)),ROWS(F$2:F413))),0)</f>
        <v>0</v>
      </c>
    </row>
    <row r="414" spans="6:6" x14ac:dyDescent="0.3">
      <c r="F414" s="1">
        <f t="array" ref="F414">IFERROR(INDEX($A$2:$A$500,SMALL(IF($B$2:$B$500&gt;0,ROW($B$2:$B$500)-ROW($B$1)),ROWS(F$2:F414))),0)</f>
        <v>0</v>
      </c>
    </row>
    <row r="415" spans="6:6" x14ac:dyDescent="0.3">
      <c r="F415" s="1">
        <f t="array" ref="F415">IFERROR(INDEX($A$2:$A$500,SMALL(IF($B$2:$B$500&gt;0,ROW($B$2:$B$500)-ROW($B$1)),ROWS(F$2:F415))),0)</f>
        <v>0</v>
      </c>
    </row>
    <row r="416" spans="6:6" x14ac:dyDescent="0.3">
      <c r="F416" s="1">
        <f t="array" ref="F416">IFERROR(INDEX($A$2:$A$500,SMALL(IF($B$2:$B$500&gt;0,ROW($B$2:$B$500)-ROW($B$1)),ROWS(F$2:F416))),0)</f>
        <v>0</v>
      </c>
    </row>
    <row r="417" spans="6:6" x14ac:dyDescent="0.3">
      <c r="F417" s="1">
        <f t="array" ref="F417">IFERROR(INDEX($A$2:$A$500,SMALL(IF($B$2:$B$500&gt;0,ROW($B$2:$B$500)-ROW($B$1)),ROWS(F$2:F417))),0)</f>
        <v>0</v>
      </c>
    </row>
    <row r="418" spans="6:6" x14ac:dyDescent="0.3">
      <c r="F418" s="1">
        <f t="array" ref="F418">IFERROR(INDEX($A$2:$A$500,SMALL(IF($B$2:$B$500&gt;0,ROW($B$2:$B$500)-ROW($B$1)),ROWS(F$2:F418))),0)</f>
        <v>0</v>
      </c>
    </row>
    <row r="419" spans="6:6" x14ac:dyDescent="0.3">
      <c r="F419" s="1">
        <f t="array" ref="F419">IFERROR(INDEX($A$2:$A$500,SMALL(IF($B$2:$B$500&gt;0,ROW($B$2:$B$500)-ROW($B$1)),ROWS(F$2:F419))),0)</f>
        <v>0</v>
      </c>
    </row>
    <row r="420" spans="6:6" x14ac:dyDescent="0.3">
      <c r="F420" s="1">
        <f t="array" ref="F420">IFERROR(INDEX($A$2:$A$500,SMALL(IF($B$2:$B$500&gt;0,ROW($B$2:$B$500)-ROW($B$1)),ROWS(F$2:F420))),0)</f>
        <v>0</v>
      </c>
    </row>
    <row r="421" spans="6:6" x14ac:dyDescent="0.3">
      <c r="F421" s="1">
        <f t="array" ref="F421">IFERROR(INDEX($A$2:$A$500,SMALL(IF($B$2:$B$500&gt;0,ROW($B$2:$B$500)-ROW($B$1)),ROWS(F$2:F421))),0)</f>
        <v>0</v>
      </c>
    </row>
    <row r="422" spans="6:6" x14ac:dyDescent="0.3">
      <c r="F422" s="1">
        <f t="array" ref="F422">IFERROR(INDEX($A$2:$A$500,SMALL(IF($B$2:$B$500&gt;0,ROW($B$2:$B$500)-ROW($B$1)),ROWS(F$2:F422))),0)</f>
        <v>0</v>
      </c>
    </row>
    <row r="423" spans="6:6" x14ac:dyDescent="0.3">
      <c r="F423" s="1">
        <f t="array" ref="F423">IFERROR(INDEX($A$2:$A$500,SMALL(IF($B$2:$B$500&gt;0,ROW($B$2:$B$500)-ROW($B$1)),ROWS(F$2:F423))),0)</f>
        <v>0</v>
      </c>
    </row>
    <row r="424" spans="6:6" x14ac:dyDescent="0.3">
      <c r="F424" s="1">
        <f t="array" ref="F424">IFERROR(INDEX($A$2:$A$500,SMALL(IF($B$2:$B$500&gt;0,ROW($B$2:$B$500)-ROW($B$1)),ROWS(F$2:F424))),0)</f>
        <v>0</v>
      </c>
    </row>
    <row r="425" spans="6:6" x14ac:dyDescent="0.3">
      <c r="F425" s="1">
        <f t="array" ref="F425">IFERROR(INDEX($A$2:$A$500,SMALL(IF($B$2:$B$500&gt;0,ROW($B$2:$B$500)-ROW($B$1)),ROWS(F$2:F425))),0)</f>
        <v>0</v>
      </c>
    </row>
    <row r="426" spans="6:6" x14ac:dyDescent="0.3">
      <c r="F426" s="1">
        <f t="array" ref="F426">IFERROR(INDEX($A$2:$A$500,SMALL(IF($B$2:$B$500&gt;0,ROW($B$2:$B$500)-ROW($B$1)),ROWS(F$2:F426))),0)</f>
        <v>0</v>
      </c>
    </row>
    <row r="427" spans="6:6" x14ac:dyDescent="0.3">
      <c r="F427" s="1">
        <f t="array" ref="F427">IFERROR(INDEX($A$2:$A$500,SMALL(IF($B$2:$B$500&gt;0,ROW($B$2:$B$500)-ROW($B$1)),ROWS(F$2:F427))),0)</f>
        <v>0</v>
      </c>
    </row>
    <row r="428" spans="6:6" x14ac:dyDescent="0.3">
      <c r="F428" s="1">
        <f t="array" ref="F428">IFERROR(INDEX($A$2:$A$500,SMALL(IF($B$2:$B$500&gt;0,ROW($B$2:$B$500)-ROW($B$1)),ROWS(F$2:F428))),0)</f>
        <v>0</v>
      </c>
    </row>
    <row r="429" spans="6:6" x14ac:dyDescent="0.3">
      <c r="F429" s="1">
        <f t="array" ref="F429">IFERROR(INDEX($A$2:$A$500,SMALL(IF($B$2:$B$500&gt;0,ROW($B$2:$B$500)-ROW($B$1)),ROWS(F$2:F429))),0)</f>
        <v>0</v>
      </c>
    </row>
    <row r="430" spans="6:6" x14ac:dyDescent="0.3">
      <c r="F430" s="1">
        <f t="array" ref="F430">IFERROR(INDEX($A$2:$A$500,SMALL(IF($B$2:$B$500&gt;0,ROW($B$2:$B$500)-ROW($B$1)),ROWS(F$2:F430))),0)</f>
        <v>0</v>
      </c>
    </row>
    <row r="431" spans="6:6" x14ac:dyDescent="0.3">
      <c r="F431" s="1">
        <f t="array" ref="F431">IFERROR(INDEX($A$2:$A$500,SMALL(IF($B$2:$B$500&gt;0,ROW($B$2:$B$500)-ROW($B$1)),ROWS(F$2:F431))),0)</f>
        <v>0</v>
      </c>
    </row>
    <row r="432" spans="6:6" x14ac:dyDescent="0.3">
      <c r="F432" s="1">
        <f t="array" ref="F432">IFERROR(INDEX($A$2:$A$500,SMALL(IF($B$2:$B$500&gt;0,ROW($B$2:$B$500)-ROW($B$1)),ROWS(F$2:F432))),0)</f>
        <v>0</v>
      </c>
    </row>
    <row r="433" spans="6:6" x14ac:dyDescent="0.3">
      <c r="F433" s="1">
        <f t="array" ref="F433">IFERROR(INDEX($A$2:$A$500,SMALL(IF($B$2:$B$500&gt;0,ROW($B$2:$B$500)-ROW($B$1)),ROWS(F$2:F433))),0)</f>
        <v>0</v>
      </c>
    </row>
    <row r="434" spans="6:6" x14ac:dyDescent="0.3">
      <c r="F434" s="1">
        <f t="array" ref="F434">IFERROR(INDEX($A$2:$A$500,SMALL(IF($B$2:$B$500&gt;0,ROW($B$2:$B$500)-ROW($B$1)),ROWS(F$2:F434))),0)</f>
        <v>0</v>
      </c>
    </row>
    <row r="435" spans="6:6" x14ac:dyDescent="0.3">
      <c r="F435" s="1">
        <f t="array" ref="F435">IFERROR(INDEX($A$2:$A$500,SMALL(IF($B$2:$B$500&gt;0,ROW($B$2:$B$500)-ROW($B$1)),ROWS(F$2:F435))),0)</f>
        <v>0</v>
      </c>
    </row>
    <row r="436" spans="6:6" x14ac:dyDescent="0.3">
      <c r="F436" s="1">
        <f t="array" ref="F436">IFERROR(INDEX($A$2:$A$500,SMALL(IF($B$2:$B$500&gt;0,ROW($B$2:$B$500)-ROW($B$1)),ROWS(F$2:F436))),0)</f>
        <v>0</v>
      </c>
    </row>
    <row r="437" spans="6:6" x14ac:dyDescent="0.3">
      <c r="F437" s="1">
        <f t="array" ref="F437">IFERROR(INDEX($A$2:$A$500,SMALL(IF($B$2:$B$500&gt;0,ROW($B$2:$B$500)-ROW($B$1)),ROWS(F$2:F437))),0)</f>
        <v>0</v>
      </c>
    </row>
    <row r="438" spans="6:6" x14ac:dyDescent="0.3">
      <c r="F438" s="1">
        <f t="array" ref="F438">IFERROR(INDEX($A$2:$A$500,SMALL(IF($B$2:$B$500&gt;0,ROW($B$2:$B$500)-ROW($B$1)),ROWS(F$2:F438))),0)</f>
        <v>0</v>
      </c>
    </row>
    <row r="439" spans="6:6" x14ac:dyDescent="0.3">
      <c r="F439" s="1">
        <f t="array" ref="F439">IFERROR(INDEX($A$2:$A$500,SMALL(IF($B$2:$B$500&gt;0,ROW($B$2:$B$500)-ROW($B$1)),ROWS(F$2:F439))),0)</f>
        <v>0</v>
      </c>
    </row>
    <row r="440" spans="6:6" x14ac:dyDescent="0.3">
      <c r="F440" s="1">
        <f t="array" ref="F440">IFERROR(INDEX($A$2:$A$500,SMALL(IF($B$2:$B$500&gt;0,ROW($B$2:$B$500)-ROW($B$1)),ROWS(F$2:F440))),0)</f>
        <v>0</v>
      </c>
    </row>
    <row r="441" spans="6:6" x14ac:dyDescent="0.3">
      <c r="F441" s="1">
        <f t="array" ref="F441">IFERROR(INDEX($A$2:$A$500,SMALL(IF($B$2:$B$500&gt;0,ROW($B$2:$B$500)-ROW($B$1)),ROWS(F$2:F441))),0)</f>
        <v>0</v>
      </c>
    </row>
    <row r="442" spans="6:6" x14ac:dyDescent="0.3">
      <c r="F442" s="1">
        <f t="array" ref="F442">IFERROR(INDEX($A$2:$A$500,SMALL(IF($B$2:$B$500&gt;0,ROW($B$2:$B$500)-ROW($B$1)),ROWS(F$2:F442))),0)</f>
        <v>0</v>
      </c>
    </row>
    <row r="443" spans="6:6" x14ac:dyDescent="0.3">
      <c r="F443" s="1">
        <f t="array" ref="F443">IFERROR(INDEX($A$2:$A$500,SMALL(IF($B$2:$B$500&gt;0,ROW($B$2:$B$500)-ROW($B$1)),ROWS(F$2:F443))),0)</f>
        <v>0</v>
      </c>
    </row>
    <row r="444" spans="6:6" x14ac:dyDescent="0.3">
      <c r="F444" s="1">
        <f t="array" ref="F444">IFERROR(INDEX($A$2:$A$500,SMALL(IF($B$2:$B$500&gt;0,ROW($B$2:$B$500)-ROW($B$1)),ROWS(F$2:F444))),0)</f>
        <v>0</v>
      </c>
    </row>
    <row r="445" spans="6:6" x14ac:dyDescent="0.3">
      <c r="F445" s="1">
        <f t="array" ref="F445">IFERROR(INDEX($A$2:$A$500,SMALL(IF($B$2:$B$500&gt;0,ROW($B$2:$B$500)-ROW($B$1)),ROWS(F$2:F445))),0)</f>
        <v>0</v>
      </c>
    </row>
    <row r="446" spans="6:6" x14ac:dyDescent="0.3">
      <c r="F446" s="1">
        <f t="array" ref="F446">IFERROR(INDEX($A$2:$A$500,SMALL(IF($B$2:$B$500&gt;0,ROW($B$2:$B$500)-ROW($B$1)),ROWS(F$2:F446))),0)</f>
        <v>0</v>
      </c>
    </row>
    <row r="447" spans="6:6" x14ac:dyDescent="0.3">
      <c r="F447" s="1">
        <f t="array" ref="F447">IFERROR(INDEX($A$2:$A$500,SMALL(IF($B$2:$B$500&gt;0,ROW($B$2:$B$500)-ROW($B$1)),ROWS(F$2:F447))),0)</f>
        <v>0</v>
      </c>
    </row>
    <row r="448" spans="6:6" x14ac:dyDescent="0.3">
      <c r="F448" s="1">
        <f t="array" ref="F448">IFERROR(INDEX($A$2:$A$500,SMALL(IF($B$2:$B$500&gt;0,ROW($B$2:$B$500)-ROW($B$1)),ROWS(F$2:F448))),0)</f>
        <v>0</v>
      </c>
    </row>
    <row r="449" spans="6:6" x14ac:dyDescent="0.3">
      <c r="F449" s="1">
        <f t="array" ref="F449">IFERROR(INDEX($A$2:$A$500,SMALL(IF($B$2:$B$500&gt;0,ROW($B$2:$B$500)-ROW($B$1)),ROWS(F$2:F449))),0)</f>
        <v>0</v>
      </c>
    </row>
    <row r="450" spans="6:6" x14ac:dyDescent="0.3">
      <c r="F450" s="1">
        <f t="array" ref="F450">IFERROR(INDEX($A$2:$A$500,SMALL(IF($B$2:$B$500&gt;0,ROW($B$2:$B$500)-ROW($B$1)),ROWS(F$2:F450))),0)</f>
        <v>0</v>
      </c>
    </row>
    <row r="451" spans="6:6" x14ac:dyDescent="0.3">
      <c r="F451" s="1">
        <f t="array" ref="F451">IFERROR(INDEX($A$2:$A$500,SMALL(IF($B$2:$B$500&gt;0,ROW($B$2:$B$500)-ROW($B$1)),ROWS(F$2:F451))),0)</f>
        <v>0</v>
      </c>
    </row>
    <row r="452" spans="6:6" x14ac:dyDescent="0.3">
      <c r="F452" s="1">
        <f t="array" ref="F452">IFERROR(INDEX($A$2:$A$500,SMALL(IF($B$2:$B$500&gt;0,ROW($B$2:$B$500)-ROW($B$1)),ROWS(F$2:F452))),0)</f>
        <v>0</v>
      </c>
    </row>
    <row r="453" spans="6:6" x14ac:dyDescent="0.3">
      <c r="F453" s="1">
        <f t="array" ref="F453">IFERROR(INDEX($A$2:$A$500,SMALL(IF($B$2:$B$500&gt;0,ROW($B$2:$B$500)-ROW($B$1)),ROWS(F$2:F453))),0)</f>
        <v>0</v>
      </c>
    </row>
    <row r="454" spans="6:6" x14ac:dyDescent="0.3">
      <c r="F454" s="1">
        <f t="array" ref="F454">IFERROR(INDEX($A$2:$A$500,SMALL(IF($B$2:$B$500&gt;0,ROW($B$2:$B$500)-ROW($B$1)),ROWS(F$2:F454))),0)</f>
        <v>0</v>
      </c>
    </row>
    <row r="455" spans="6:6" x14ac:dyDescent="0.3">
      <c r="F455" s="1">
        <f t="array" ref="F455">IFERROR(INDEX($A$2:$A$500,SMALL(IF($B$2:$B$500&gt;0,ROW($B$2:$B$500)-ROW($B$1)),ROWS(F$2:F455))),0)</f>
        <v>0</v>
      </c>
    </row>
    <row r="456" spans="6:6" x14ac:dyDescent="0.3">
      <c r="F456" s="1">
        <f t="array" ref="F456">IFERROR(INDEX($A$2:$A$500,SMALL(IF($B$2:$B$500&gt;0,ROW($B$2:$B$500)-ROW($B$1)),ROWS(F$2:F456))),0)</f>
        <v>0</v>
      </c>
    </row>
    <row r="457" spans="6:6" x14ac:dyDescent="0.3">
      <c r="F457" s="1">
        <f t="array" ref="F457">IFERROR(INDEX($A$2:$A$500,SMALL(IF($B$2:$B$500&gt;0,ROW($B$2:$B$500)-ROW($B$1)),ROWS(F$2:F457))),0)</f>
        <v>0</v>
      </c>
    </row>
    <row r="458" spans="6:6" x14ac:dyDescent="0.3">
      <c r="F458" s="1">
        <f t="array" ref="F458">IFERROR(INDEX($A$2:$A$500,SMALL(IF($B$2:$B$500&gt;0,ROW($B$2:$B$500)-ROW($B$1)),ROWS(F$2:F458))),0)</f>
        <v>0</v>
      </c>
    </row>
    <row r="459" spans="6:6" x14ac:dyDescent="0.3">
      <c r="F459" s="1">
        <f t="array" ref="F459">IFERROR(INDEX($A$2:$A$500,SMALL(IF($B$2:$B$500&gt;0,ROW($B$2:$B$500)-ROW($B$1)),ROWS(F$2:F459))),0)</f>
        <v>0</v>
      </c>
    </row>
    <row r="460" spans="6:6" x14ac:dyDescent="0.3">
      <c r="F460" s="1">
        <f t="array" ref="F460">IFERROR(INDEX($A$2:$A$500,SMALL(IF($B$2:$B$500&gt;0,ROW($B$2:$B$500)-ROW($B$1)),ROWS(F$2:F460))),0)</f>
        <v>0</v>
      </c>
    </row>
    <row r="461" spans="6:6" x14ac:dyDescent="0.3">
      <c r="F461" s="1">
        <f t="array" ref="F461">IFERROR(INDEX($A$2:$A$500,SMALL(IF($B$2:$B$500&gt;0,ROW($B$2:$B$500)-ROW($B$1)),ROWS(F$2:F461))),0)</f>
        <v>0</v>
      </c>
    </row>
    <row r="462" spans="6:6" x14ac:dyDescent="0.3">
      <c r="F462" s="1">
        <f t="array" ref="F462">IFERROR(INDEX($A$2:$A$500,SMALL(IF($B$2:$B$500&gt;0,ROW($B$2:$B$500)-ROW($B$1)),ROWS(F$2:F462))),0)</f>
        <v>0</v>
      </c>
    </row>
    <row r="463" spans="6:6" x14ac:dyDescent="0.3">
      <c r="F463" s="1">
        <f t="array" ref="F463">IFERROR(INDEX($A$2:$A$500,SMALL(IF($B$2:$B$500&gt;0,ROW($B$2:$B$500)-ROW($B$1)),ROWS(F$2:F463))),0)</f>
        <v>0</v>
      </c>
    </row>
    <row r="464" spans="6:6" x14ac:dyDescent="0.3">
      <c r="F464" s="1">
        <f t="array" ref="F464">IFERROR(INDEX($A$2:$A$500,SMALL(IF($B$2:$B$500&gt;0,ROW($B$2:$B$500)-ROW($B$1)),ROWS(F$2:F464))),0)</f>
        <v>0</v>
      </c>
    </row>
    <row r="465" spans="6:6" x14ac:dyDescent="0.3">
      <c r="F465" s="1">
        <f t="array" ref="F465">IFERROR(INDEX($A$2:$A$500,SMALL(IF($B$2:$B$500&gt;0,ROW($B$2:$B$500)-ROW($B$1)),ROWS(F$2:F465))),0)</f>
        <v>0</v>
      </c>
    </row>
    <row r="466" spans="6:6" x14ac:dyDescent="0.3">
      <c r="F466" s="1">
        <f t="array" ref="F466">IFERROR(INDEX($A$2:$A$500,SMALL(IF($B$2:$B$500&gt;0,ROW($B$2:$B$500)-ROW($B$1)),ROWS(F$2:F466))),0)</f>
        <v>0</v>
      </c>
    </row>
    <row r="467" spans="6:6" x14ac:dyDescent="0.3">
      <c r="F467" s="1">
        <f t="array" ref="F467">IFERROR(INDEX($A$2:$A$500,SMALL(IF($B$2:$B$500&gt;0,ROW($B$2:$B$500)-ROW($B$1)),ROWS(F$2:F467))),0)</f>
        <v>0</v>
      </c>
    </row>
    <row r="468" spans="6:6" x14ac:dyDescent="0.3">
      <c r="F468" s="1">
        <f t="array" ref="F468">IFERROR(INDEX($A$2:$A$500,SMALL(IF($B$2:$B$500&gt;0,ROW($B$2:$B$500)-ROW($B$1)),ROWS(F$2:F468))),0)</f>
        <v>0</v>
      </c>
    </row>
    <row r="469" spans="6:6" x14ac:dyDescent="0.3">
      <c r="F469" s="1">
        <f t="array" ref="F469">IFERROR(INDEX($A$2:$A$500,SMALL(IF($B$2:$B$500&gt;0,ROW($B$2:$B$500)-ROW($B$1)),ROWS(F$2:F469))),0)</f>
        <v>0</v>
      </c>
    </row>
    <row r="470" spans="6:6" x14ac:dyDescent="0.3">
      <c r="F470" s="1">
        <f t="array" ref="F470">IFERROR(INDEX($A$2:$A$500,SMALL(IF($B$2:$B$500&gt;0,ROW($B$2:$B$500)-ROW($B$1)),ROWS(F$2:F470))),0)</f>
        <v>0</v>
      </c>
    </row>
    <row r="471" spans="6:6" x14ac:dyDescent="0.3">
      <c r="F471" s="1">
        <f t="array" ref="F471">IFERROR(INDEX($A$2:$A$500,SMALL(IF($B$2:$B$500&gt;0,ROW($B$2:$B$500)-ROW($B$1)),ROWS(F$2:F471))),0)</f>
        <v>0</v>
      </c>
    </row>
    <row r="472" spans="6:6" x14ac:dyDescent="0.3">
      <c r="F472" s="1">
        <f t="array" ref="F472">IFERROR(INDEX($A$2:$A$500,SMALL(IF($B$2:$B$500&gt;0,ROW($B$2:$B$500)-ROW($B$1)),ROWS(F$2:F472))),0)</f>
        <v>0</v>
      </c>
    </row>
    <row r="473" spans="6:6" x14ac:dyDescent="0.3">
      <c r="F473" s="1">
        <f t="array" ref="F473">IFERROR(INDEX($A$2:$A$500,SMALL(IF($B$2:$B$500&gt;0,ROW($B$2:$B$500)-ROW($B$1)),ROWS(F$2:F473))),0)</f>
        <v>0</v>
      </c>
    </row>
    <row r="474" spans="6:6" x14ac:dyDescent="0.3">
      <c r="F474" s="1">
        <f t="array" ref="F474">IFERROR(INDEX($A$2:$A$500,SMALL(IF($B$2:$B$500&gt;0,ROW($B$2:$B$500)-ROW($B$1)),ROWS(F$2:F474))),0)</f>
        <v>0</v>
      </c>
    </row>
    <row r="475" spans="6:6" x14ac:dyDescent="0.3">
      <c r="F475" s="1">
        <f t="array" ref="F475">IFERROR(INDEX($A$2:$A$500,SMALL(IF($B$2:$B$500&gt;0,ROW($B$2:$B$500)-ROW($B$1)),ROWS(F$2:F475))),0)</f>
        <v>0</v>
      </c>
    </row>
    <row r="476" spans="6:6" x14ac:dyDescent="0.3">
      <c r="F476" s="1">
        <f t="array" ref="F476">IFERROR(INDEX($A$2:$A$500,SMALL(IF($B$2:$B$500&gt;0,ROW($B$2:$B$500)-ROW($B$1)),ROWS(F$2:F476))),0)</f>
        <v>0</v>
      </c>
    </row>
    <row r="477" spans="6:6" x14ac:dyDescent="0.3">
      <c r="F477" s="1">
        <f t="array" ref="F477">IFERROR(INDEX($A$2:$A$500,SMALL(IF($B$2:$B$500&gt;0,ROW($B$2:$B$500)-ROW($B$1)),ROWS(F$2:F477))),0)</f>
        <v>0</v>
      </c>
    </row>
    <row r="478" spans="6:6" x14ac:dyDescent="0.3">
      <c r="F478" s="1">
        <f t="array" ref="F478">IFERROR(INDEX($A$2:$A$500,SMALL(IF($B$2:$B$500&gt;0,ROW($B$2:$B$500)-ROW($B$1)),ROWS(F$2:F478))),0)</f>
        <v>0</v>
      </c>
    </row>
    <row r="479" spans="6:6" x14ac:dyDescent="0.3">
      <c r="F479" s="1">
        <f t="array" ref="F479">IFERROR(INDEX($A$2:$A$500,SMALL(IF($B$2:$B$500&gt;0,ROW($B$2:$B$500)-ROW($B$1)),ROWS(F$2:F479))),0)</f>
        <v>0</v>
      </c>
    </row>
    <row r="480" spans="6:6" x14ac:dyDescent="0.3">
      <c r="F480" s="1">
        <f t="array" ref="F480">IFERROR(INDEX($A$2:$A$500,SMALL(IF($B$2:$B$500&gt;0,ROW($B$2:$B$500)-ROW($B$1)),ROWS(F$2:F480))),0)</f>
        <v>0</v>
      </c>
    </row>
    <row r="481" spans="6:6" x14ac:dyDescent="0.3">
      <c r="F481" s="1">
        <f t="array" ref="F481">IFERROR(INDEX($A$2:$A$500,SMALL(IF($B$2:$B$500&gt;0,ROW($B$2:$B$500)-ROW($B$1)),ROWS(F$2:F481))),0)</f>
        <v>0</v>
      </c>
    </row>
    <row r="482" spans="6:6" x14ac:dyDescent="0.3">
      <c r="F482" s="1">
        <f t="array" ref="F482">IFERROR(INDEX($A$2:$A$500,SMALL(IF($B$2:$B$500&gt;0,ROW($B$2:$B$500)-ROW($B$1)),ROWS(F$2:F482))),0)</f>
        <v>0</v>
      </c>
    </row>
    <row r="483" spans="6:6" x14ac:dyDescent="0.3">
      <c r="F483" s="1">
        <f t="array" ref="F483">IFERROR(INDEX($A$2:$A$500,SMALL(IF($B$2:$B$500&gt;0,ROW($B$2:$B$500)-ROW($B$1)),ROWS(F$2:F483))),0)</f>
        <v>0</v>
      </c>
    </row>
    <row r="484" spans="6:6" x14ac:dyDescent="0.3">
      <c r="F484" s="1">
        <f t="array" ref="F484">IFERROR(INDEX($A$2:$A$500,SMALL(IF($B$2:$B$500&gt;0,ROW($B$2:$B$500)-ROW($B$1)),ROWS(F$2:F484))),0)</f>
        <v>0</v>
      </c>
    </row>
    <row r="485" spans="6:6" x14ac:dyDescent="0.3">
      <c r="F485" s="1">
        <f t="array" ref="F485">IFERROR(INDEX($A$2:$A$500,SMALL(IF($B$2:$B$500&gt;0,ROW($B$2:$B$500)-ROW($B$1)),ROWS(F$2:F485))),0)</f>
        <v>0</v>
      </c>
    </row>
    <row r="486" spans="6:6" x14ac:dyDescent="0.3">
      <c r="F486" s="1">
        <f t="array" ref="F486">IFERROR(INDEX($A$2:$A$500,SMALL(IF($B$2:$B$500&gt;0,ROW($B$2:$B$500)-ROW($B$1)),ROWS(F$2:F486))),0)</f>
        <v>0</v>
      </c>
    </row>
    <row r="487" spans="6:6" x14ac:dyDescent="0.3">
      <c r="F487" s="1">
        <f t="array" ref="F487">IFERROR(INDEX($A$2:$A$500,SMALL(IF($B$2:$B$500&gt;0,ROW($B$2:$B$500)-ROW($B$1)),ROWS(F$2:F487))),0)</f>
        <v>0</v>
      </c>
    </row>
    <row r="488" spans="6:6" x14ac:dyDescent="0.3">
      <c r="F488" s="1">
        <f t="array" ref="F488">IFERROR(INDEX($A$2:$A$500,SMALL(IF($B$2:$B$500&gt;0,ROW($B$2:$B$500)-ROW($B$1)),ROWS(F$2:F488))),0)</f>
        <v>0</v>
      </c>
    </row>
    <row r="489" spans="6:6" x14ac:dyDescent="0.3">
      <c r="F489" s="1">
        <f t="array" ref="F489">IFERROR(INDEX($A$2:$A$500,SMALL(IF($B$2:$B$500&gt;0,ROW($B$2:$B$500)-ROW($B$1)),ROWS(F$2:F489))),0)</f>
        <v>0</v>
      </c>
    </row>
    <row r="490" spans="6:6" x14ac:dyDescent="0.3">
      <c r="F490" s="1">
        <f t="array" ref="F490">IFERROR(INDEX($A$2:$A$500,SMALL(IF($B$2:$B$500&gt;0,ROW($B$2:$B$500)-ROW($B$1)),ROWS(F$2:F490))),0)</f>
        <v>0</v>
      </c>
    </row>
    <row r="491" spans="6:6" x14ac:dyDescent="0.3">
      <c r="F491" s="1">
        <f t="array" ref="F491">IFERROR(INDEX($A$2:$A$500,SMALL(IF($B$2:$B$500&gt;0,ROW($B$2:$B$500)-ROW($B$1)),ROWS(F$2:F491))),0)</f>
        <v>0</v>
      </c>
    </row>
    <row r="492" spans="6:6" x14ac:dyDescent="0.3">
      <c r="F492" s="1">
        <f t="array" ref="F492">IFERROR(INDEX($A$2:$A$500,SMALL(IF($B$2:$B$500&gt;0,ROW($B$2:$B$500)-ROW($B$1)),ROWS(F$2:F492))),0)</f>
        <v>0</v>
      </c>
    </row>
    <row r="493" spans="6:6" x14ac:dyDescent="0.3">
      <c r="F493" s="1">
        <f t="array" ref="F493">IFERROR(INDEX($A$2:$A$500,SMALL(IF($B$2:$B$500&gt;0,ROW($B$2:$B$500)-ROW($B$1)),ROWS(F$2:F493))),0)</f>
        <v>0</v>
      </c>
    </row>
    <row r="494" spans="6:6" x14ac:dyDescent="0.3">
      <c r="F494" s="1">
        <f t="array" ref="F494">IFERROR(INDEX($A$2:$A$500,SMALL(IF($B$2:$B$500&gt;0,ROW($B$2:$B$500)-ROW($B$1)),ROWS(F$2:F494))),0)</f>
        <v>0</v>
      </c>
    </row>
    <row r="495" spans="6:6" x14ac:dyDescent="0.3">
      <c r="F495" s="1">
        <f t="array" ref="F495">IFERROR(INDEX($A$2:$A$500,SMALL(IF($B$2:$B$500&gt;0,ROW($B$2:$B$500)-ROW($B$1)),ROWS(F$2:F495))),0)</f>
        <v>0</v>
      </c>
    </row>
    <row r="496" spans="6:6" x14ac:dyDescent="0.3">
      <c r="F496" s="1">
        <f t="array" ref="F496">IFERROR(INDEX($A$2:$A$500,SMALL(IF($B$2:$B$500&gt;0,ROW($B$2:$B$500)-ROW($B$1)),ROWS(F$2:F496))),0)</f>
        <v>0</v>
      </c>
    </row>
    <row r="497" spans="6:6" x14ac:dyDescent="0.3">
      <c r="F497" s="1">
        <f t="array" ref="F497">IFERROR(INDEX($A$2:$A$500,SMALL(IF($B$2:$B$500&gt;0,ROW($B$2:$B$500)-ROW($B$1)),ROWS(F$2:F497))),0)</f>
        <v>0</v>
      </c>
    </row>
    <row r="498" spans="6:6" x14ac:dyDescent="0.3">
      <c r="F498" s="1">
        <f t="array" ref="F498">IFERROR(INDEX($A$2:$A$500,SMALL(IF($B$2:$B$500&gt;0,ROW($B$2:$B$500)-ROW($B$1)),ROWS(F$2:F498))),0)</f>
        <v>0</v>
      </c>
    </row>
    <row r="499" spans="6:6" x14ac:dyDescent="0.3">
      <c r="F499" s="1">
        <f t="array" ref="F499">IFERROR(INDEX($A$2:$A$500,SMALL(IF($B$2:$B$500&gt;0,ROW($B$2:$B$500)-ROW($B$1)),ROWS(F$2:F499))),0)</f>
        <v>0</v>
      </c>
    </row>
    <row r="500" spans="6:6" x14ac:dyDescent="0.3">
      <c r="F500" s="1">
        <f t="array" ref="F500">IFERROR(INDEX($A$2:$A$500,SMALL(IF($B$2:$B$500&gt;0,ROW($B$2:$B$500)-ROW($B$1)),ROWS(F$2:F500))),0)</f>
        <v>0</v>
      </c>
    </row>
  </sheetData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Sales</vt:lpstr>
      <vt:lpstr>Purchases</vt:lpstr>
      <vt:lpstr>Delayed Payments</vt:lpstr>
      <vt:lpstr>Daily Purchases-Sales Report</vt:lpstr>
      <vt:lpstr>Customer and Destributer Totals</vt:lpstr>
      <vt:lpstr>Item Priceing</vt:lpstr>
      <vt:lpstr>Distributers</vt:lpstr>
      <vt:lpstr>Customers</vt:lpstr>
      <vt:lpstr>Bills</vt:lpstr>
      <vt:lpstr>Bill Details</vt:lpstr>
      <vt:lpstr>Available Amounts</vt:lpstr>
      <vt:lpstr>customers</vt:lpstr>
      <vt:lpstr>itemname</vt:lpstr>
      <vt:lpstr>Prices</vt:lpstr>
      <vt:lpstr>Suppliers</vt:lpstr>
      <vt:lpstr>Suppliersnames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2023-07-21T03:49:21Z</dcterms:modified>
</cp:coreProperties>
</file>